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8fea81090b452984/Documents/GitHub/L3 Data Analysis TE/"/>
    </mc:Choice>
  </mc:AlternateContent>
  <xr:revisionPtr revIDLastSave="0" documentId="8_{98252165-84AD-4819-8258-6EB562AF2CB4}" xr6:coauthVersionLast="47" xr6:coauthVersionMax="47" xr10:uidLastSave="{00000000-0000-0000-0000-000000000000}"/>
  <bookViews>
    <workbookView xWindow="-108" yWindow="-108" windowWidth="23256" windowHeight="12456" activeTab="5" xr2:uid="{29262FCF-FD44-4126-8230-800BCA76EF92}"/>
  </bookViews>
  <sheets>
    <sheet name="Dashboard" sheetId="3" r:id="rId1"/>
    <sheet name="Pivots" sheetId="2" r:id="rId2"/>
    <sheet name="monthly differences" sheetId="6" r:id="rId3"/>
    <sheet name="location pivots" sheetId="5" r:id="rId4"/>
    <sheet name="class pivots" sheetId="4" r:id="rId5"/>
    <sheet name="Wildlife Data" sheetId="1" r:id="rId6"/>
  </sheets>
  <definedNames>
    <definedName name="Slicer_Class">#N/A</definedName>
    <definedName name="Slicer_Month">#N/A</definedName>
    <definedName name="Slicer_OSGR_100km">#N/A</definedName>
    <definedName name="wildlife">'Wildlife Data'!$A$1:$W$295</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6" l="1"/>
  <c r="B10" i="6"/>
  <c r="N5" i="6"/>
  <c r="N6" i="6"/>
  <c r="I4" i="6"/>
  <c r="I5" i="6"/>
  <c r="I6" i="6"/>
  <c r="N4" i="6"/>
  <c r="I3" i="6"/>
  <c r="D4" i="6"/>
  <c r="D5" i="6"/>
  <c r="D6" i="6"/>
  <c r="D7" i="6"/>
  <c r="D8" i="6"/>
  <c r="D9" i="6"/>
  <c r="D3" i="6"/>
  <c r="D10" i="6" l="1"/>
</calcChain>
</file>

<file path=xl/sharedStrings.xml><?xml version="1.0" encoding="utf-8"?>
<sst xmlns="http://schemas.openxmlformats.org/spreadsheetml/2006/main" count="5190" uniqueCount="758">
  <si>
    <t>Occurrence ID</t>
  </si>
  <si>
    <t>Event Date</t>
  </si>
  <si>
    <t>Day</t>
  </si>
  <si>
    <t>Month</t>
  </si>
  <si>
    <t>Year</t>
  </si>
  <si>
    <t>Dataset ID</t>
  </si>
  <si>
    <t>Data provider</t>
  </si>
  <si>
    <t>Data provider ID</t>
  </si>
  <si>
    <t>Scientific name</t>
  </si>
  <si>
    <t>Common name</t>
  </si>
  <si>
    <t>Taxon Rank</t>
  </si>
  <si>
    <t>Kingdom</t>
  </si>
  <si>
    <t>Phylum</t>
  </si>
  <si>
    <t>Class</t>
  </si>
  <si>
    <t>Order</t>
  </si>
  <si>
    <t>Family</t>
  </si>
  <si>
    <t>Genus</t>
  </si>
  <si>
    <t>Grid reference</t>
  </si>
  <si>
    <t>OSGR 100km</t>
  </si>
  <si>
    <t>OSGR 10km</t>
  </si>
  <si>
    <t>OSGR 2km</t>
  </si>
  <si>
    <t>OSGR 1km</t>
  </si>
  <si>
    <t>Count</t>
  </si>
  <si>
    <t>dr2141</t>
  </si>
  <si>
    <t>British Bryological Society</t>
  </si>
  <si>
    <t>dp74</t>
  </si>
  <si>
    <t>Rhytidiadelphus squarrosus</t>
  </si>
  <si>
    <t>Springy Turf-moss</t>
  </si>
  <si>
    <t>species</t>
  </si>
  <si>
    <t>Plantae</t>
  </si>
  <si>
    <t>Bryophyta</t>
  </si>
  <si>
    <t>Bryopsida</t>
  </si>
  <si>
    <t>Hypnales</t>
  </si>
  <si>
    <t>Hylocomiaceae</t>
  </si>
  <si>
    <t>Rhytidiadelphus</t>
  </si>
  <si>
    <t>SD96652663</t>
  </si>
  <si>
    <t>SD</t>
  </si>
  <si>
    <t>SD92</t>
  </si>
  <si>
    <t>SD92T</t>
  </si>
  <si>
    <t>SD9626</t>
  </si>
  <si>
    <t>Atrichum undulatum</t>
  </si>
  <si>
    <t>Common Smoothcap</t>
  </si>
  <si>
    <t>Polytrichopsida</t>
  </si>
  <si>
    <t>Polytrichales</t>
  </si>
  <si>
    <t>Polytrichaceae</t>
  </si>
  <si>
    <t>Atrichum</t>
  </si>
  <si>
    <t>SE147252</t>
  </si>
  <si>
    <t>SE</t>
  </si>
  <si>
    <t>SE12</t>
  </si>
  <si>
    <t>SE12M</t>
  </si>
  <si>
    <t>SE1425</t>
  </si>
  <si>
    <t>dr736</t>
  </si>
  <si>
    <t>Biological Records Centre</t>
  </si>
  <si>
    <t>dp77</t>
  </si>
  <si>
    <t>Adalia bipunctata</t>
  </si>
  <si>
    <t>2-spot Ladybird</t>
  </si>
  <si>
    <t>Animalia</t>
  </si>
  <si>
    <t>Arthropoda</t>
  </si>
  <si>
    <t>Insecta</t>
  </si>
  <si>
    <t>Coleoptera</t>
  </si>
  <si>
    <t>Coccinellidae</t>
  </si>
  <si>
    <t>Adalia</t>
  </si>
  <si>
    <t>SK452993</t>
  </si>
  <si>
    <t>SK</t>
  </si>
  <si>
    <t>SK49</t>
  </si>
  <si>
    <t>SK49P</t>
  </si>
  <si>
    <t>SK4599</t>
  </si>
  <si>
    <t>Cratoneuron filicinum</t>
  </si>
  <si>
    <t>Fern-leaved Hook-moss</t>
  </si>
  <si>
    <t>Amblystegiaceae</t>
  </si>
  <si>
    <t>Cratoneuron</t>
  </si>
  <si>
    <t>SK295898</t>
  </si>
  <si>
    <t>SK28</t>
  </si>
  <si>
    <t>SK28Z</t>
  </si>
  <si>
    <t>SK2989</t>
  </si>
  <si>
    <t>Amblystegium serpens</t>
  </si>
  <si>
    <t>Creeping Feather-moss</t>
  </si>
  <si>
    <t>Amblystegium</t>
  </si>
  <si>
    <t>SE117347</t>
  </si>
  <si>
    <t>SE13</t>
  </si>
  <si>
    <t>SE13C</t>
  </si>
  <si>
    <t>SE1134</t>
  </si>
  <si>
    <t>dr2451</t>
  </si>
  <si>
    <t>Mammal Society</t>
  </si>
  <si>
    <t>dp8</t>
  </si>
  <si>
    <t>Micromys minutus</t>
  </si>
  <si>
    <t>Harvest Mouse</t>
  </si>
  <si>
    <t>Chordata</t>
  </si>
  <si>
    <t>Mammalia</t>
  </si>
  <si>
    <t>Rodentia</t>
  </si>
  <si>
    <t>Cricetidae</t>
  </si>
  <si>
    <t>Micromys</t>
  </si>
  <si>
    <t>SE731258</t>
  </si>
  <si>
    <t>SE72</t>
  </si>
  <si>
    <t>SE72H</t>
  </si>
  <si>
    <t>SE7325</t>
  </si>
  <si>
    <t>Hypnum jutlandicum</t>
  </si>
  <si>
    <t>Heath Plait-moss</t>
  </si>
  <si>
    <t>Hypnaceae</t>
  </si>
  <si>
    <t>Hypnum</t>
  </si>
  <si>
    <t>SE20322932</t>
  </si>
  <si>
    <t>SE22</t>
  </si>
  <si>
    <t>SE22E</t>
  </si>
  <si>
    <t>SE2029</t>
  </si>
  <si>
    <t>Halyzia sedecimguttata</t>
  </si>
  <si>
    <t>Orange Ladybird</t>
  </si>
  <si>
    <t>Halyzia</t>
  </si>
  <si>
    <t>SK45229941</t>
  </si>
  <si>
    <t>Calliergonella cuspidata</t>
  </si>
  <si>
    <t>Pointed Spear-moss</t>
  </si>
  <si>
    <t>Pylaisiaceae</t>
  </si>
  <si>
    <t>Calliergonella</t>
  </si>
  <si>
    <t>SE06612694</t>
  </si>
  <si>
    <t>SE02</t>
  </si>
  <si>
    <t>SE02T</t>
  </si>
  <si>
    <t>SE0626</t>
  </si>
  <si>
    <t>Pleurozium schreberi</t>
  </si>
  <si>
    <t>Red-stemmed Feather-moss</t>
  </si>
  <si>
    <t>Pleurozium</t>
  </si>
  <si>
    <t>SE07091712</t>
  </si>
  <si>
    <t>SE01</t>
  </si>
  <si>
    <t>SE01T</t>
  </si>
  <si>
    <t>SE0717</t>
  </si>
  <si>
    <t>Brachythecium rutabulum</t>
  </si>
  <si>
    <t>Rough-stalked Feather-moss</t>
  </si>
  <si>
    <t>Brachytheciaceae</t>
  </si>
  <si>
    <t>Brachythecium</t>
  </si>
  <si>
    <t>SE24912270</t>
  </si>
  <si>
    <t>SE22L</t>
  </si>
  <si>
    <t>SE2422</t>
  </si>
  <si>
    <t>Rhizomnium punctatum</t>
  </si>
  <si>
    <t>Dotted Thyme-moss</t>
  </si>
  <si>
    <t>Bryales</t>
  </si>
  <si>
    <t>Mniaceae</t>
  </si>
  <si>
    <t>Rhizomnium</t>
  </si>
  <si>
    <t>SD96422673</t>
  </si>
  <si>
    <t>Dicranum scoparium</t>
  </si>
  <si>
    <t>Broom Fork-moss</t>
  </si>
  <si>
    <t>Dicranales</t>
  </si>
  <si>
    <t>Dicranaceae</t>
  </si>
  <si>
    <t>Dicranum</t>
  </si>
  <si>
    <t>SE10812659</t>
  </si>
  <si>
    <t>SE12D</t>
  </si>
  <si>
    <t>SE1026</t>
  </si>
  <si>
    <t>Hylocomium splendens</t>
  </si>
  <si>
    <t>Glittering Wood-moss</t>
  </si>
  <si>
    <t>Hylocomium</t>
  </si>
  <si>
    <t>SE01122045</t>
  </si>
  <si>
    <t>SE02A</t>
  </si>
  <si>
    <t>SE0120</t>
  </si>
  <si>
    <t>Kindbergia praelonga</t>
  </si>
  <si>
    <t>Common Feather-moss</t>
  </si>
  <si>
    <t>Kindbergia</t>
  </si>
  <si>
    <t>SK293900</t>
  </si>
  <si>
    <t>SK29</t>
  </si>
  <si>
    <t>SK29V</t>
  </si>
  <si>
    <t>SK2990</t>
  </si>
  <si>
    <t>SD96632644</t>
  </si>
  <si>
    <t>Grimmia pulvinata</t>
  </si>
  <si>
    <t>Grey-cushioned Grimmia</t>
  </si>
  <si>
    <t>Grimmiales</t>
  </si>
  <si>
    <t>Grimmiaceae</t>
  </si>
  <si>
    <t>Grimmia</t>
  </si>
  <si>
    <t>SK372860</t>
  </si>
  <si>
    <t>SK38</t>
  </si>
  <si>
    <t>SK38T</t>
  </si>
  <si>
    <t>SK3786</t>
  </si>
  <si>
    <t>Schistidium crassipilum</t>
  </si>
  <si>
    <t>Thickpoint Grimmia</t>
  </si>
  <si>
    <t>Schistidium</t>
  </si>
  <si>
    <t>SK28699048</t>
  </si>
  <si>
    <t>SK2890</t>
  </si>
  <si>
    <t>Sphagnum fimbriatum</t>
  </si>
  <si>
    <t>Fringed Bog-moss</t>
  </si>
  <si>
    <t>Sphagnopsida</t>
  </si>
  <si>
    <t>Sphagnales</t>
  </si>
  <si>
    <t>Sphagnaceae</t>
  </si>
  <si>
    <t>Sphagnum</t>
  </si>
  <si>
    <t>SD99841722</t>
  </si>
  <si>
    <t>SD91</t>
  </si>
  <si>
    <t>SD91Y</t>
  </si>
  <si>
    <t>SD9917</t>
  </si>
  <si>
    <t>SE137205</t>
  </si>
  <si>
    <t>SE12F</t>
  </si>
  <si>
    <t>SE1320</t>
  </si>
  <si>
    <t>SE24992304</t>
  </si>
  <si>
    <t>SE2423</t>
  </si>
  <si>
    <t>SE05182364</t>
  </si>
  <si>
    <t>SE02L</t>
  </si>
  <si>
    <t>SE0523</t>
  </si>
  <si>
    <t>SE136260</t>
  </si>
  <si>
    <t>SE12I</t>
  </si>
  <si>
    <t>SE1326</t>
  </si>
  <si>
    <t>SE01251842</t>
  </si>
  <si>
    <t>SE01E</t>
  </si>
  <si>
    <t>SE0118</t>
  </si>
  <si>
    <t>SK347873</t>
  </si>
  <si>
    <t>SK38N</t>
  </si>
  <si>
    <t>SK3487</t>
  </si>
  <si>
    <t>SK324816</t>
  </si>
  <si>
    <t>SK38F</t>
  </si>
  <si>
    <t>SK3281</t>
  </si>
  <si>
    <t>SE11942036</t>
  </si>
  <si>
    <t>SE12A</t>
  </si>
  <si>
    <t>SE1120</t>
  </si>
  <si>
    <t>SE06572694</t>
  </si>
  <si>
    <t>Coccinella septempunctata</t>
  </si>
  <si>
    <t>7-spot Ladybird</t>
  </si>
  <si>
    <t>Coccinella</t>
  </si>
  <si>
    <t>SE562045</t>
  </si>
  <si>
    <t>SE50</t>
  </si>
  <si>
    <t>SE50S</t>
  </si>
  <si>
    <t>SE5604</t>
  </si>
  <si>
    <t>Harmonia axyridis</t>
  </si>
  <si>
    <t>Harlequin Ladybird</t>
  </si>
  <si>
    <t>Harmonia</t>
  </si>
  <si>
    <t>SE05142370</t>
  </si>
  <si>
    <t>Homalothecium sericeum</t>
  </si>
  <si>
    <t>Silky Wall Feather-moss</t>
  </si>
  <si>
    <t>Homalothecium</t>
  </si>
  <si>
    <t>SK324818</t>
  </si>
  <si>
    <t>SE10752665</t>
  </si>
  <si>
    <t>SE00751820</t>
  </si>
  <si>
    <t>SE0018</t>
  </si>
  <si>
    <t>Bryum argenteum</t>
  </si>
  <si>
    <t>Silver-moss</t>
  </si>
  <si>
    <t>Bryaceae</t>
  </si>
  <si>
    <t>Bryum</t>
  </si>
  <si>
    <t>SK356879</t>
  </si>
  <si>
    <t>SK3587</t>
  </si>
  <si>
    <t>Sphagnum cuspidatum</t>
  </si>
  <si>
    <t>Feathery Bog-moss</t>
  </si>
  <si>
    <t>SE01961717</t>
  </si>
  <si>
    <t>SE01D</t>
  </si>
  <si>
    <t>SE0117</t>
  </si>
  <si>
    <t>Thamnobryum alopecurum</t>
  </si>
  <si>
    <t>Fox-tail Feather-moss</t>
  </si>
  <si>
    <t>Neckeraceae</t>
  </si>
  <si>
    <t>Thamnobryum</t>
  </si>
  <si>
    <t>SE13712070</t>
  </si>
  <si>
    <t>SE46052237</t>
  </si>
  <si>
    <t>SE42</t>
  </si>
  <si>
    <t>SE42R</t>
  </si>
  <si>
    <t>SE4622</t>
  </si>
  <si>
    <t>Campylopus introflexus</t>
  </si>
  <si>
    <t>Heath Star Moss</t>
  </si>
  <si>
    <t>Leucobryaceae</t>
  </si>
  <si>
    <t>Campylopus</t>
  </si>
  <si>
    <t>SD91572828</t>
  </si>
  <si>
    <t>SD92E</t>
  </si>
  <si>
    <t>SD9128</t>
  </si>
  <si>
    <t>Pseudoscleropodium purum</t>
  </si>
  <si>
    <t>Neat Feather-moss</t>
  </si>
  <si>
    <t>Pseudoscleropodium</t>
  </si>
  <si>
    <t>SE08312015</t>
  </si>
  <si>
    <t>SE02V</t>
  </si>
  <si>
    <t>SE0820</t>
  </si>
  <si>
    <t>SE08222013</t>
  </si>
  <si>
    <t>Plagiothecium undulatum</t>
  </si>
  <si>
    <t>Waved Silk-moss</t>
  </si>
  <si>
    <t>Plagiotheciaceae</t>
  </si>
  <si>
    <t>Plagiothecium</t>
  </si>
  <si>
    <t>SE07451993</t>
  </si>
  <si>
    <t>SE01U</t>
  </si>
  <si>
    <t>SE0719</t>
  </si>
  <si>
    <t>SD96602658</t>
  </si>
  <si>
    <t>SE10072540</t>
  </si>
  <si>
    <t>SE12C</t>
  </si>
  <si>
    <t>SE1025</t>
  </si>
  <si>
    <t>Pellia epiphylla</t>
  </si>
  <si>
    <t>Overleaf Pellia</t>
  </si>
  <si>
    <t>Marchantiophyta</t>
  </si>
  <si>
    <t>Jungermanniopsida</t>
  </si>
  <si>
    <t>Pelliales</t>
  </si>
  <si>
    <t>Pelliaceae</t>
  </si>
  <si>
    <t>Pellia</t>
  </si>
  <si>
    <t>SD95064931</t>
  </si>
  <si>
    <t>SD94</t>
  </si>
  <si>
    <t>SD94P</t>
  </si>
  <si>
    <t>SD9549</t>
  </si>
  <si>
    <t>SK29618984</t>
  </si>
  <si>
    <t>Thuidium tamariscinum</t>
  </si>
  <si>
    <t>Common Tamarisk-moss</t>
  </si>
  <si>
    <t>Thuidiaceae</t>
  </si>
  <si>
    <t>Thuidium</t>
  </si>
  <si>
    <t>SD91412822</t>
  </si>
  <si>
    <t>dr696</t>
  </si>
  <si>
    <t>Leptoglossus occidentalis</t>
  </si>
  <si>
    <t>Western Conifer Seed Bug</t>
  </si>
  <si>
    <t>Hemiptera</t>
  </si>
  <si>
    <t>Coreidae</t>
  </si>
  <si>
    <t>Leptoglossus</t>
  </si>
  <si>
    <t>SK342851</t>
  </si>
  <si>
    <t>SK38M</t>
  </si>
  <si>
    <t>SK3485</t>
  </si>
  <si>
    <t>Plagiomnium undulatum</t>
  </si>
  <si>
    <t>Hart's-tongue Thyme-moss</t>
  </si>
  <si>
    <t>Plagiomnium</t>
  </si>
  <si>
    <t>SE14722523</t>
  </si>
  <si>
    <t>SE10742690</t>
  </si>
  <si>
    <t>SE07372132</t>
  </si>
  <si>
    <t>SE02Q</t>
  </si>
  <si>
    <t>SE0721</t>
  </si>
  <si>
    <t>Diplophyllum albicans</t>
  </si>
  <si>
    <t>White Earwort</t>
  </si>
  <si>
    <t>Jungermanniales</t>
  </si>
  <si>
    <t>Scapaniaceae</t>
  </si>
  <si>
    <t>Diplophyllum</t>
  </si>
  <si>
    <t>SD99851748</t>
  </si>
  <si>
    <t>Ceratodon purpureus</t>
  </si>
  <si>
    <t>Redshank</t>
  </si>
  <si>
    <t>Ditrichaceae</t>
  </si>
  <si>
    <t>Ceratodon</t>
  </si>
  <si>
    <t>SK352851</t>
  </si>
  <si>
    <t>SK3585</t>
  </si>
  <si>
    <t>SE067168</t>
  </si>
  <si>
    <t>SE0616</t>
  </si>
  <si>
    <t>Bryum capillare</t>
  </si>
  <si>
    <t>Capillary Thread-moss</t>
  </si>
  <si>
    <t>SE12212972</t>
  </si>
  <si>
    <t>SE12J</t>
  </si>
  <si>
    <t>SE1229</t>
  </si>
  <si>
    <t>Radula complanata</t>
  </si>
  <si>
    <t>Even Scalewort</t>
  </si>
  <si>
    <t>Porellales</t>
  </si>
  <si>
    <t>Radulaceae</t>
  </si>
  <si>
    <t>Radula</t>
  </si>
  <si>
    <t>Sphagnum subnitens</t>
  </si>
  <si>
    <t>Lustrous Bog-moss</t>
  </si>
  <si>
    <t>SE07091719</t>
  </si>
  <si>
    <t>SK324817</t>
  </si>
  <si>
    <t>SE25202315</t>
  </si>
  <si>
    <t>SE2523</t>
  </si>
  <si>
    <t>SD988300</t>
  </si>
  <si>
    <t>SD93</t>
  </si>
  <si>
    <t>SD93V</t>
  </si>
  <si>
    <t>SD9830</t>
  </si>
  <si>
    <t>SE167293</t>
  </si>
  <si>
    <t>SE12U</t>
  </si>
  <si>
    <t>SE1629</t>
  </si>
  <si>
    <t>SE12113007</t>
  </si>
  <si>
    <t>SE13F</t>
  </si>
  <si>
    <t>SE1230</t>
  </si>
  <si>
    <t>SE02072393</t>
  </si>
  <si>
    <t>SE02G</t>
  </si>
  <si>
    <t>SE0223</t>
  </si>
  <si>
    <t>Didymodon insulanus</t>
  </si>
  <si>
    <t>Cylindric Beard-moss</t>
  </si>
  <si>
    <t>Pottiaceae</t>
  </si>
  <si>
    <t>Didymodon</t>
  </si>
  <si>
    <t>SK375865</t>
  </si>
  <si>
    <t>dr1215</t>
  </si>
  <si>
    <t>Terrestrial Heteroptera Recording Scheme (Shieldbugs &amp; allied species)</t>
  </si>
  <si>
    <t>dp108</t>
  </si>
  <si>
    <t>Palomena prasina</t>
  </si>
  <si>
    <t>Green Shieldbug</t>
  </si>
  <si>
    <t>Pentatomidae</t>
  </si>
  <si>
    <t>Palomena</t>
  </si>
  <si>
    <t>Sphagnum palustre</t>
  </si>
  <si>
    <t>Blunt-leaved Bog-moss</t>
  </si>
  <si>
    <t>SE00151714</t>
  </si>
  <si>
    <t>SE0017</t>
  </si>
  <si>
    <t>SE16752267</t>
  </si>
  <si>
    <t>SE12R</t>
  </si>
  <si>
    <t>SE1622</t>
  </si>
  <si>
    <t>SE00771823</t>
  </si>
  <si>
    <t>SE16572942</t>
  </si>
  <si>
    <t>SE11922039</t>
  </si>
  <si>
    <t>SE08232013</t>
  </si>
  <si>
    <t>SE10842654</t>
  </si>
  <si>
    <t>SD96532679</t>
  </si>
  <si>
    <t>SE16402950</t>
  </si>
  <si>
    <t>SE09343387</t>
  </si>
  <si>
    <t>SE03</t>
  </si>
  <si>
    <t>SE03W</t>
  </si>
  <si>
    <t>SE0933</t>
  </si>
  <si>
    <t>SD96712651</t>
  </si>
  <si>
    <t>SE07121706</t>
  </si>
  <si>
    <t>SE01772384</t>
  </si>
  <si>
    <t>SE02B</t>
  </si>
  <si>
    <t>SE0123</t>
  </si>
  <si>
    <t>SK346873</t>
  </si>
  <si>
    <t>Sphagnum fallax</t>
  </si>
  <si>
    <t>Flat-topped Bog-moss</t>
  </si>
  <si>
    <t>SE20332931</t>
  </si>
  <si>
    <t>Tortula muralis</t>
  </si>
  <si>
    <t>Wall Screw-moss</t>
  </si>
  <si>
    <t>Tortula</t>
  </si>
  <si>
    <t>Polytrichum commune s.l.</t>
  </si>
  <si>
    <t>Common Haircap</t>
  </si>
  <si>
    <t>species aggregate</t>
  </si>
  <si>
    <t>Polytrichum</t>
  </si>
  <si>
    <t>SD99901722</t>
  </si>
  <si>
    <t>SK352850</t>
  </si>
  <si>
    <t>SK292903</t>
  </si>
  <si>
    <t>SE09353390</t>
  </si>
  <si>
    <t>Encalypta streptocarpa</t>
  </si>
  <si>
    <t>Spiral Extinguisher-moss</t>
  </si>
  <si>
    <t>Encalyptales</t>
  </si>
  <si>
    <t>Encalyptaceae</t>
  </si>
  <si>
    <t>Encalypta</t>
  </si>
  <si>
    <t>SK325820</t>
  </si>
  <si>
    <t>SK38G</t>
  </si>
  <si>
    <t>SK3282</t>
  </si>
  <si>
    <t>SD96632661</t>
  </si>
  <si>
    <t>SE01911714</t>
  </si>
  <si>
    <t>Hypnum cupressiforme</t>
  </si>
  <si>
    <t>Cypress-leaved Plait-moss</t>
  </si>
  <si>
    <t>SK28779034</t>
  </si>
  <si>
    <t>Polytrichum formosum</t>
  </si>
  <si>
    <t>Bank Haircap</t>
  </si>
  <si>
    <t>SD965267</t>
  </si>
  <si>
    <t>SE01682385</t>
  </si>
  <si>
    <t>Aulacomnium palustre</t>
  </si>
  <si>
    <t>Bog Groove-moss</t>
  </si>
  <si>
    <t>Aulacomniales</t>
  </si>
  <si>
    <t>Aulacomniaceae</t>
  </si>
  <si>
    <t>Aulacomnium</t>
  </si>
  <si>
    <t>SE01981718</t>
  </si>
  <si>
    <t>SE06572693</t>
  </si>
  <si>
    <t>Polytrichum piliferum</t>
  </si>
  <si>
    <t>Bristly Haircap</t>
  </si>
  <si>
    <t>Orthotrichum anomalum</t>
  </si>
  <si>
    <t>Anomalous Bristle-moss</t>
  </si>
  <si>
    <t>Orthotrichales</t>
  </si>
  <si>
    <t>Orthotrichaceae</t>
  </si>
  <si>
    <t>Orthotrichum</t>
  </si>
  <si>
    <t>SK358877</t>
  </si>
  <si>
    <t>Lophocolea semiteres</t>
  </si>
  <si>
    <t>Southern Crestwort</t>
  </si>
  <si>
    <t>Lophocoleaceae</t>
  </si>
  <si>
    <t>Lophocolea</t>
  </si>
  <si>
    <t>SE10722683</t>
  </si>
  <si>
    <t>SK323817</t>
  </si>
  <si>
    <t>Tortula cernua</t>
  </si>
  <si>
    <t>Flamingo-moss</t>
  </si>
  <si>
    <t>SE53800102</t>
  </si>
  <si>
    <t>SE50F</t>
  </si>
  <si>
    <t>SE5301</t>
  </si>
  <si>
    <t>Bryum intermedium</t>
  </si>
  <si>
    <t>Many-seasoned Thread-moss</t>
  </si>
  <si>
    <t>SE53790101</t>
  </si>
  <si>
    <t>SE01092069</t>
  </si>
  <si>
    <t>SK355880</t>
  </si>
  <si>
    <t>SK38P</t>
  </si>
  <si>
    <t>SK3588</t>
  </si>
  <si>
    <t>Scapania undulata</t>
  </si>
  <si>
    <t>Water Earwort</t>
  </si>
  <si>
    <t>Scapania</t>
  </si>
  <si>
    <t>SD96422674</t>
  </si>
  <si>
    <t>SD92795240</t>
  </si>
  <si>
    <t>SD95</t>
  </si>
  <si>
    <t>SD95G</t>
  </si>
  <si>
    <t>SD9252</t>
  </si>
  <si>
    <t>SK477936</t>
  </si>
  <si>
    <t>SK49R</t>
  </si>
  <si>
    <t>SK4793</t>
  </si>
  <si>
    <t>SK361880</t>
  </si>
  <si>
    <t>SK38U</t>
  </si>
  <si>
    <t>SK3688</t>
  </si>
  <si>
    <t>SK322818</t>
  </si>
  <si>
    <t>SE08142012</t>
  </si>
  <si>
    <t>SD913282</t>
  </si>
  <si>
    <t>SE055252</t>
  </si>
  <si>
    <t>SE02M</t>
  </si>
  <si>
    <t>SE0525</t>
  </si>
  <si>
    <t>SK292901</t>
  </si>
  <si>
    <t>SE442169</t>
  </si>
  <si>
    <t>SE41</t>
  </si>
  <si>
    <t>SE41N</t>
  </si>
  <si>
    <t>SE4416</t>
  </si>
  <si>
    <t>Polytrichum juniperinum</t>
  </si>
  <si>
    <t>Juniper Haircap</t>
  </si>
  <si>
    <t>SE20302931</t>
  </si>
  <si>
    <t>SE08522594</t>
  </si>
  <si>
    <t>SE02X</t>
  </si>
  <si>
    <t>SE0825</t>
  </si>
  <si>
    <t>Hylocomiadelphus triquetrus</t>
  </si>
  <si>
    <t>Big Shaggy-moss</t>
  </si>
  <si>
    <t>Hylocomiadelphus</t>
  </si>
  <si>
    <t>SD99761731</t>
  </si>
  <si>
    <t>SD99781736</t>
  </si>
  <si>
    <t>SK33848766</t>
  </si>
  <si>
    <t>SK38I</t>
  </si>
  <si>
    <t>SK3387</t>
  </si>
  <si>
    <t>Rhynchostegium confertum</t>
  </si>
  <si>
    <t>Clustered Feather-moss</t>
  </si>
  <si>
    <t>Rhynchostegium</t>
  </si>
  <si>
    <t>SE089243</t>
  </si>
  <si>
    <t>SE0824</t>
  </si>
  <si>
    <t>dr671</t>
  </si>
  <si>
    <t>Capreolus capreolus</t>
  </si>
  <si>
    <t>Roe Deer</t>
  </si>
  <si>
    <t>Artiodactyla</t>
  </si>
  <si>
    <t>Cervidae</t>
  </si>
  <si>
    <t>Capreolus</t>
  </si>
  <si>
    <t>SE146252</t>
  </si>
  <si>
    <t>SD987280</t>
  </si>
  <si>
    <t>SD92Z</t>
  </si>
  <si>
    <t>SD9828</t>
  </si>
  <si>
    <t>dr3369</t>
  </si>
  <si>
    <t>Terrestrial Heteroptera Recording Scheme (Plantbugs and allied species)</t>
  </si>
  <si>
    <t>dp292</t>
  </si>
  <si>
    <t>Gastrodes grossipes</t>
  </si>
  <si>
    <t>Pine Cone Bug</t>
  </si>
  <si>
    <t>Lygaeidae</t>
  </si>
  <si>
    <t>Gastrodes</t>
  </si>
  <si>
    <t>SE00260404</t>
  </si>
  <si>
    <t>SE00</t>
  </si>
  <si>
    <t>SE00C</t>
  </si>
  <si>
    <t>SE0004</t>
  </si>
  <si>
    <t>SE16722932</t>
  </si>
  <si>
    <t>SE01951717</t>
  </si>
  <si>
    <t>SE11383492</t>
  </si>
  <si>
    <t>Mnium hornum</t>
  </si>
  <si>
    <t>Swan's-neck Thyme-moss</t>
  </si>
  <si>
    <t>Mnium</t>
  </si>
  <si>
    <t>SE11623473</t>
  </si>
  <si>
    <t>Marchantia polymorpha</t>
  </si>
  <si>
    <t>Common Liverwort</t>
  </si>
  <si>
    <t>Marchantiopsida</t>
  </si>
  <si>
    <t>Marchantiales</t>
  </si>
  <si>
    <t>Marchantiaceae</t>
  </si>
  <si>
    <t>Marchantia</t>
  </si>
  <si>
    <t>SK356871</t>
  </si>
  <si>
    <t>SE01492008</t>
  </si>
  <si>
    <t>SK362877</t>
  </si>
  <si>
    <t>SK3687</t>
  </si>
  <si>
    <t>SE07352132</t>
  </si>
  <si>
    <t>Acanthosoma haemorrhoidale</t>
  </si>
  <si>
    <t>Hawthorn Shieldbug</t>
  </si>
  <si>
    <t>Acanthosomatidae</t>
  </si>
  <si>
    <t>Acanthosoma</t>
  </si>
  <si>
    <t>SK321859</t>
  </si>
  <si>
    <t>SK38H</t>
  </si>
  <si>
    <t>SK3285</t>
  </si>
  <si>
    <t>SK325819</t>
  </si>
  <si>
    <t>SE035378</t>
  </si>
  <si>
    <t>SE03I</t>
  </si>
  <si>
    <t>SE0337</t>
  </si>
  <si>
    <t>SE10792659</t>
  </si>
  <si>
    <t>SK359874</t>
  </si>
  <si>
    <t>SE16802274</t>
  </si>
  <si>
    <t>SE107265</t>
  </si>
  <si>
    <t>SE11433472</t>
  </si>
  <si>
    <t>SK362878</t>
  </si>
  <si>
    <t>Pylaisia polyantha</t>
  </si>
  <si>
    <t>Many-flowered Leskea</t>
  </si>
  <si>
    <t>Pylaisia</t>
  </si>
  <si>
    <t>SD92785243</t>
  </si>
  <si>
    <t>SE08902428</t>
  </si>
  <si>
    <t>Lunularia cruciata</t>
  </si>
  <si>
    <t>Crescent-cup Liverwort</t>
  </si>
  <si>
    <t>Lunulariales</t>
  </si>
  <si>
    <t>Lunulariaceae</t>
  </si>
  <si>
    <t>Lunularia</t>
  </si>
  <si>
    <t>SE11663482</t>
  </si>
  <si>
    <t>Metzgeria furcata</t>
  </si>
  <si>
    <t>Forked Veilwort</t>
  </si>
  <si>
    <t>Metzgeriales</t>
  </si>
  <si>
    <t>Metzgeriaceae</t>
  </si>
  <si>
    <t>Metzgeria</t>
  </si>
  <si>
    <t>SK321821</t>
  </si>
  <si>
    <t>Racomitrium aciculare</t>
  </si>
  <si>
    <t>Yellow Fringe-moss</t>
  </si>
  <si>
    <t>Racomitrium</t>
  </si>
  <si>
    <t>SD96522679</t>
  </si>
  <si>
    <t>SE143275</t>
  </si>
  <si>
    <t>SE12N</t>
  </si>
  <si>
    <t>SE1427</t>
  </si>
  <si>
    <t>SK287902</t>
  </si>
  <si>
    <t>SE01852384</t>
  </si>
  <si>
    <t>SE13712071</t>
  </si>
  <si>
    <t>SE668111</t>
  </si>
  <si>
    <t>SE61</t>
  </si>
  <si>
    <t>SE61Q</t>
  </si>
  <si>
    <t>SE6611</t>
  </si>
  <si>
    <t>SE118207</t>
  </si>
  <si>
    <t>Brachythecium albicans</t>
  </si>
  <si>
    <t>Whitish Feather-moss</t>
  </si>
  <si>
    <t>Syntrichia ruralis</t>
  </si>
  <si>
    <t>Great Hairy Screw-moss</t>
  </si>
  <si>
    <t>Syntrichia</t>
  </si>
  <si>
    <t>SD965265</t>
  </si>
  <si>
    <t>SE09343388</t>
  </si>
  <si>
    <t>SE094338</t>
  </si>
  <si>
    <t>SE01042048</t>
  </si>
  <si>
    <t>SE09403390</t>
  </si>
  <si>
    <t>SK357877</t>
  </si>
  <si>
    <t>Funaria hygrometrica</t>
  </si>
  <si>
    <t>Common Cord-moss</t>
  </si>
  <si>
    <t>Funariales</t>
  </si>
  <si>
    <t>Funariaceae</t>
  </si>
  <si>
    <t>Funaria</t>
  </si>
  <si>
    <t>SD99931772</t>
  </si>
  <si>
    <t>SE00031785</t>
  </si>
  <si>
    <t>SK363879</t>
  </si>
  <si>
    <t>SE07131708</t>
  </si>
  <si>
    <t>SE01241842</t>
  </si>
  <si>
    <t>Ctenidium molluscum</t>
  </si>
  <si>
    <t>Chalk Comb-moss</t>
  </si>
  <si>
    <t>Myuriaceae</t>
  </si>
  <si>
    <t>Ctenidium</t>
  </si>
  <si>
    <t>SD96972628</t>
  </si>
  <si>
    <t>SD964268</t>
  </si>
  <si>
    <t>Cryphaea heteromalla</t>
  </si>
  <si>
    <t>Lateral Cryphaea</t>
  </si>
  <si>
    <t>Cryphaeaceae</t>
  </si>
  <si>
    <t>Cryphaea</t>
  </si>
  <si>
    <t>SK292900</t>
  </si>
  <si>
    <t>SE07101711</t>
  </si>
  <si>
    <t>SE08532594</t>
  </si>
  <si>
    <t>SD99961722</t>
  </si>
  <si>
    <t>SK356878</t>
  </si>
  <si>
    <t>SE11463477</t>
  </si>
  <si>
    <t>SK293904</t>
  </si>
  <si>
    <t>SD9619</t>
  </si>
  <si>
    <t>SD91U</t>
  </si>
  <si>
    <t>Riccardia palmata</t>
  </si>
  <si>
    <t>Palmate Germanderwort</t>
  </si>
  <si>
    <t>Aneuraceae</t>
  </si>
  <si>
    <t>Riccardia</t>
  </si>
  <si>
    <t>SE081236</t>
  </si>
  <si>
    <t>SE02W</t>
  </si>
  <si>
    <t>SE0823</t>
  </si>
  <si>
    <t>SE14592541</t>
  </si>
  <si>
    <t>SE00731817</t>
  </si>
  <si>
    <t>SK366864</t>
  </si>
  <si>
    <t>SK3686</t>
  </si>
  <si>
    <t>SE24872265</t>
  </si>
  <si>
    <t>SD9719</t>
  </si>
  <si>
    <t>Sphagnum papillosum</t>
  </si>
  <si>
    <t>Papillose Bog-moss</t>
  </si>
  <si>
    <t>SE01971717</t>
  </si>
  <si>
    <t>SD96592655</t>
  </si>
  <si>
    <t>SE01091995</t>
  </si>
  <si>
    <t>SE0119</t>
  </si>
  <si>
    <t>SD96622648</t>
  </si>
  <si>
    <t>SE25252319</t>
  </si>
  <si>
    <t>Polytrichum strictum</t>
  </si>
  <si>
    <t>Strict Haircap</t>
  </si>
  <si>
    <t>SD91852853</t>
  </si>
  <si>
    <t>SE07352131</t>
  </si>
  <si>
    <t>Adalia decempunctata</t>
  </si>
  <si>
    <t>10-spot Ladybird</t>
  </si>
  <si>
    <t>SD97880344</t>
  </si>
  <si>
    <t>SD90</t>
  </si>
  <si>
    <t>SD90R</t>
  </si>
  <si>
    <t>SD9703</t>
  </si>
  <si>
    <t>SE08332018</t>
  </si>
  <si>
    <t>SE05052366</t>
  </si>
  <si>
    <t>SE11463478</t>
  </si>
  <si>
    <t>SK361876</t>
  </si>
  <si>
    <t>SK320819</t>
  </si>
  <si>
    <t>SD96432673</t>
  </si>
  <si>
    <t>SK31298521</t>
  </si>
  <si>
    <t>SK38C</t>
  </si>
  <si>
    <t>SK3185</t>
  </si>
  <si>
    <t>SE070169</t>
  </si>
  <si>
    <t>SE0716</t>
  </si>
  <si>
    <t>SE137206</t>
  </si>
  <si>
    <t>SE10772662</t>
  </si>
  <si>
    <t>Racomitrium fasciculare</t>
  </si>
  <si>
    <t>Green Mountain Fringe-moss</t>
  </si>
  <si>
    <t>SD99741728</t>
  </si>
  <si>
    <t>SD99861758</t>
  </si>
  <si>
    <t>SK310851</t>
  </si>
  <si>
    <t>SE00411708</t>
  </si>
  <si>
    <t>SD96922633</t>
  </si>
  <si>
    <t>Syntrichia montana</t>
  </si>
  <si>
    <t>Intermediate Screw-moss</t>
  </si>
  <si>
    <t>SD99841747</t>
  </si>
  <si>
    <t>SE07942009</t>
  </si>
  <si>
    <t>SE0720</t>
  </si>
  <si>
    <t>SE11922035</t>
  </si>
  <si>
    <t>SD99871722</t>
  </si>
  <si>
    <t>Tytthaspis sedecimpunctata</t>
  </si>
  <si>
    <t>16-spot Ladybird</t>
  </si>
  <si>
    <t>Tytthaspis</t>
  </si>
  <si>
    <t>SK29239019</t>
  </si>
  <si>
    <t>SE643173</t>
  </si>
  <si>
    <t>SE61N</t>
  </si>
  <si>
    <t>SE6417</t>
  </si>
  <si>
    <t>SE07842399</t>
  </si>
  <si>
    <t>SE02R</t>
  </si>
  <si>
    <t>SE0723</t>
  </si>
  <si>
    <t>SE065269</t>
  </si>
  <si>
    <t>Dicranoweisia cirrata</t>
  </si>
  <si>
    <t>Common Pincushion</t>
  </si>
  <si>
    <t>Rhabdoweisiaceae</t>
  </si>
  <si>
    <t>Dicranoweisia</t>
  </si>
  <si>
    <t>SD99751727</t>
  </si>
  <si>
    <t>SE01952434</t>
  </si>
  <si>
    <t>SE02C</t>
  </si>
  <si>
    <t>SE0124</t>
  </si>
  <si>
    <t>SE11922037</t>
  </si>
  <si>
    <t>SD93103342</t>
  </si>
  <si>
    <t>SD93G</t>
  </si>
  <si>
    <t>SD9333</t>
  </si>
  <si>
    <t>SE01022051</t>
  </si>
  <si>
    <t>SE2724</t>
  </si>
  <si>
    <t>SE22S</t>
  </si>
  <si>
    <t>SK484969</t>
  </si>
  <si>
    <t>SK49Y</t>
  </si>
  <si>
    <t>SK4896</t>
  </si>
  <si>
    <t>SE00771822</t>
  </si>
  <si>
    <t>Fissidens taxifolius</t>
  </si>
  <si>
    <t>Common Pocket-moss</t>
  </si>
  <si>
    <t>Fissidentaceae</t>
  </si>
  <si>
    <t>Fissidens</t>
  </si>
  <si>
    <t>SE11693477</t>
  </si>
  <si>
    <t>SE08472593</t>
  </si>
  <si>
    <t>SE07501994</t>
  </si>
  <si>
    <t>Rhytidiadelphus loreus</t>
  </si>
  <si>
    <t>Little Shaggy-moss</t>
  </si>
  <si>
    <t>SD91422820</t>
  </si>
  <si>
    <t>SE11792044</t>
  </si>
  <si>
    <t>Calvia quattuordecimguttata</t>
  </si>
  <si>
    <t>Cream-spot Ladybird</t>
  </si>
  <si>
    <t>Calvia</t>
  </si>
  <si>
    <t>SD99320419</t>
  </si>
  <si>
    <t>SD90X</t>
  </si>
  <si>
    <t>SD9904</t>
  </si>
  <si>
    <t>SE10722679</t>
  </si>
  <si>
    <t>SE066269</t>
  </si>
  <si>
    <t>Frullania dilatata</t>
  </si>
  <si>
    <t>Dilated Scalewort</t>
  </si>
  <si>
    <t>Frullaniaceae</t>
  </si>
  <si>
    <t>Frullania</t>
  </si>
  <si>
    <t>SE09253399</t>
  </si>
  <si>
    <t>SD96652651</t>
  </si>
  <si>
    <t>SE118204</t>
  </si>
  <si>
    <t>Oxyrrhynchium hians</t>
  </si>
  <si>
    <t>Swartz's Feather-moss</t>
  </si>
  <si>
    <t>Oxyrrhynchium</t>
  </si>
  <si>
    <t>SK351848</t>
  </si>
  <si>
    <t>SK3584</t>
  </si>
  <si>
    <t>SD99921769</t>
  </si>
  <si>
    <t>Dicranella heteromalla</t>
  </si>
  <si>
    <t>Silky Forklet-moss</t>
  </si>
  <si>
    <t>Dicranellaceae</t>
  </si>
  <si>
    <t>Dicranella</t>
  </si>
  <si>
    <t>SE01901733</t>
  </si>
  <si>
    <t>SE07812403</t>
  </si>
  <si>
    <t>SE02S</t>
  </si>
  <si>
    <t>SE0724</t>
  </si>
  <si>
    <t>SE07111710</t>
  </si>
  <si>
    <t>SD99851722</t>
  </si>
  <si>
    <t>Row Labels</t>
  </si>
  <si>
    <t>Grand Total</t>
  </si>
  <si>
    <t>Sum of Month</t>
  </si>
  <si>
    <t>Column Labels</t>
  </si>
  <si>
    <t>Sum of Count</t>
  </si>
  <si>
    <t>Jan</t>
  </si>
  <si>
    <t>Feb</t>
  </si>
  <si>
    <t>Difference</t>
  </si>
  <si>
    <t>Area</t>
  </si>
  <si>
    <t>Monthly 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</si>
</sst>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6"/>
      <color theme="1"/>
      <name val="Aptos Narrow"/>
      <family val="2"/>
      <scheme val="minor"/>
    </font>
    <font>
      <b/>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18" fillId="0" borderId="0" xfId="0" applyFont="1"/>
    <xf numFmtId="0" fontId="0" fillId="0" borderId="0" xfId="0" pivotButton="1"/>
    <xf numFmtId="0" fontId="0" fillId="0" borderId="0" xfId="0" applyAlignment="1">
      <alignment horizontal="left"/>
    </xf>
    <xf numFmtId="0" fontId="19" fillId="0" borderId="0" xfId="0" applyFont="1"/>
    <xf numFmtId="0" fontId="16" fillId="0" borderId="0" xfId="0" applyFont="1"/>
    <xf numFmtId="0" fontId="0" fillId="0" borderId="0" xfId="0" applyAlignment="1">
      <alignment horizontal="center" vertical="center"/>
    </xf>
    <xf numFmtId="0" fontId="16" fillId="0" borderId="0" xfId="0" applyFont="1" applyAlignment="1">
      <alignment horizontal="center" vertical="center"/>
    </xf>
    <xf numFmtId="0" fontId="0" fillId="0" borderId="0" xfId="0" applyAlignment="1">
      <alignment vertical="center"/>
    </xf>
    <xf numFmtId="0" fontId="20" fillId="0" borderId="0" xfId="0" applyFont="1" applyAlignment="1">
      <alignment vertical="center"/>
    </xf>
    <xf numFmtId="0" fontId="20" fillId="0" borderId="0" xfId="0" applyFont="1" applyAlignment="1">
      <alignment horizontal="center" vertical="center"/>
    </xf>
    <xf numFmtId="0" fontId="20" fillId="0" borderId="0" xfId="0" applyFont="1"/>
    <xf numFmtId="0" fontId="0" fillId="0" borderId="12" xfId="0" applyBorder="1" applyAlignment="1">
      <alignment vertical="center"/>
    </xf>
    <xf numFmtId="0" fontId="0" fillId="0" borderId="13" xfId="0" applyBorder="1" applyAlignment="1">
      <alignment horizontal="center" vertical="center"/>
    </xf>
    <xf numFmtId="0" fontId="0" fillId="0" borderId="14" xfId="0" applyBorder="1" applyAlignment="1">
      <alignment vertical="center"/>
    </xf>
    <xf numFmtId="0" fontId="0" fillId="0" borderId="15" xfId="0" applyBorder="1" applyAlignment="1">
      <alignment horizontal="center" vertical="center"/>
    </xf>
    <xf numFmtId="0" fontId="0" fillId="0" borderId="12" xfId="0" applyBorder="1"/>
    <xf numFmtId="0" fontId="0" fillId="0" borderId="14" xfId="0" applyBorder="1"/>
    <xf numFmtId="0" fontId="16" fillId="0" borderId="10" xfId="0" applyFont="1" applyBorder="1" applyAlignment="1">
      <alignment horizontal="center" vertical="center"/>
    </xf>
    <xf numFmtId="0" fontId="16" fillId="0" borderId="12" xfId="0" applyFont="1" applyBorder="1" applyAlignment="1">
      <alignment horizontal="center" vertical="center"/>
    </xf>
    <xf numFmtId="0" fontId="16" fillId="0" borderId="11" xfId="0" applyFont="1" applyBorder="1" applyAlignment="1">
      <alignment horizontal="center" vertical="center" wrapText="1"/>
    </xf>
    <xf numFmtId="0" fontId="16" fillId="0" borderId="13"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theme="8" tint="0.7999816888943144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theme="8" tint="0.7999816888943144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theme="8"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theme="8" tint="0.79998168889431442"/>
        </patternFill>
      </fill>
    </dxf>
    <dxf>
      <font>
        <color rgb="FF006100"/>
      </font>
      <fill>
        <patternFill>
          <bgColor rgb="FFC6EFCE"/>
        </patternFill>
      </fill>
    </dxf>
    <dxf>
      <font>
        <color rgb="FF9C0006"/>
      </font>
      <fill>
        <patternFill>
          <bgColor rgb="FFFFC7CE"/>
        </patternFill>
      </fill>
    </dxf>
    <dxf>
      <fill>
        <patternFill>
          <bgColor theme="8" tint="0.79998168889431442"/>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[CC13 Excel project.xlsx]location pivots!PivotTable2</c:name>
    <c:fmtId val="3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Kingdom count by area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40000"/>
              <a:lumOff val="6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pivots'!$B$14:$B$15</c:f>
              <c:strCache>
                <c:ptCount val="1"/>
                <c:pt idx="0">
                  <c:v>Animalia</c:v>
                </c:pt>
              </c:strCache>
            </c:strRef>
          </c:tx>
          <c:spPr>
            <a:solidFill>
              <a:schemeClr val="accent5">
                <a:lumMod val="7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'location pivots'!$A$16:$A$19</c:f>
              <c:strCache>
                <c:ptCount val="3"/>
                <c:pt idx="0">
                  <c:v>SD</c:v>
                </c:pt>
                <c:pt idx="1">
                  <c:v>SE</c:v>
                </c:pt>
                <c:pt idx="2">
                  <c:v>SK</c:v>
                </c:pt>
              </c:strCache>
            </c:strRef>
          </c:cat>
          <c:val>
            <c:numRef>
              <c:f>'location pivots'!$B$16:$B$19</c:f>
              <c:numCache>
                <c:formatCode>General</c:formatCode>
                <c:ptCount val="3"/>
                <c:pt idx="0">
                  <c:v>23</c:v>
                </c:pt>
                <c:pt idx="1">
                  <c:v>70</c:v>
                </c:pt>
                <c:pt idx="2">
                  <c:v>38</c:v>
                </c:pt>
              </c:numCache>
            </c:numRef>
          </c:val>
          <c:extLst>
            <c:ext xmlns:c16="http://schemas.microsoft.com/office/drawing/2014/chart" uri="{C3380CC4-5D6E-409C-BE32-E72D297353CC}">
              <c16:uniqueId val="{00000000-FB52-43CF-8FD1-8DC725826A36}"/>
            </c:ext>
          </c:extLst>
        </c:ser>
        <c:ser>
          <c:idx val="1"/>
          <c:order val="1"/>
          <c:tx>
            <c:strRef>
              <c:f>'location pivots'!$C$14:$C$15</c:f>
              <c:strCache>
                <c:ptCount val="1"/>
                <c:pt idx="0">
                  <c:v>Plantae</c:v>
                </c:pt>
              </c:strCache>
            </c:strRef>
          </c:tx>
          <c:spPr>
            <a:solidFill>
              <a:schemeClr val="accent5">
                <a:lumMod val="40000"/>
                <a:lumOff val="6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'location pivots'!$A$16:$A$19</c:f>
              <c:strCache>
                <c:ptCount val="3"/>
                <c:pt idx="0">
                  <c:v>SD</c:v>
                </c:pt>
                <c:pt idx="1">
                  <c:v>SE</c:v>
                </c:pt>
                <c:pt idx="2">
                  <c:v>SK</c:v>
                </c:pt>
              </c:strCache>
            </c:strRef>
          </c:cat>
          <c:val>
            <c:numRef>
              <c:f>'location pivots'!$C$16:$C$19</c:f>
              <c:numCache>
                <c:formatCode>General</c:formatCode>
                <c:ptCount val="3"/>
                <c:pt idx="0">
                  <c:v>231</c:v>
                </c:pt>
                <c:pt idx="1">
                  <c:v>577</c:v>
                </c:pt>
                <c:pt idx="2">
                  <c:v>267</c:v>
                </c:pt>
              </c:numCache>
            </c:numRef>
          </c:val>
          <c:extLst>
            <c:ext xmlns:c16="http://schemas.microsoft.com/office/drawing/2014/chart" uri="{C3380CC4-5D6E-409C-BE32-E72D297353CC}">
              <c16:uniqueId val="{00000000-AD52-46D0-908A-E2AA083A5EF4}"/>
            </c:ext>
          </c:extLst>
        </c:ser>
        <c:dLbls>
          <c:dLblPos val="inEnd"/>
          <c:showLegendKey val="0"/>
          <c:showVal val="1"/>
          <c:showCatName val="0"/>
          <c:showSerName val="0"/>
          <c:showPercent val="0"/>
          <c:showBubbleSize val="0"/>
        </c:dLbls>
        <c:gapWidth val="65"/>
        <c:axId val="752851135"/>
        <c:axId val="431654383"/>
      </c:barChart>
      <c:catAx>
        <c:axId val="7528511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Area ref</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1654383"/>
        <c:crosses val="autoZero"/>
        <c:auto val="1"/>
        <c:lblAlgn val="ctr"/>
        <c:lblOffset val="100"/>
        <c:noMultiLvlLbl val="0"/>
      </c:catAx>
      <c:valAx>
        <c:axId val="4316543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5285113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[CC13 Excel project.xlsx]location pivots!PivotTable3</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Area count totals</a:t>
            </a:r>
          </a:p>
        </c:rich>
      </c:tx>
      <c:layout>
        <c:manualLayout>
          <c:xMode val="edge"/>
          <c:yMode val="edge"/>
          <c:x val="0.25385889136422568"/>
          <c:y val="8.473686930943367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lumMod val="60000"/>
              <a:lumOff val="40000"/>
            </a:schemeClr>
          </a:solidFill>
          <a:ln>
            <a:noFill/>
          </a:ln>
          <a:effectLst>
            <a:outerShdw blurRad="254000" sx="102000" sy="102000" algn="ctr" rotWithShape="0">
              <a:prstClr val="black">
                <a:alpha val="20000"/>
              </a:prstClr>
            </a:outerShdw>
          </a:effectLst>
        </c:spPr>
        <c:dLbl>
          <c:idx val="0"/>
          <c:layout>
            <c:manualLayout>
              <c:x val="0.11611715608123392"/>
              <c:y val="-8.57283351619621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0000"/>
          </a:solidFill>
          <a:ln>
            <a:noFill/>
          </a:ln>
          <a:effectLst>
            <a:outerShdw blurRad="254000" sx="102000" sy="102000" algn="ctr" rotWithShape="0">
              <a:prstClr val="black">
                <a:alpha val="20000"/>
              </a:prstClr>
            </a:outerShdw>
          </a:effectLst>
        </c:spPr>
        <c:dLbl>
          <c:idx val="0"/>
          <c:layout>
            <c:manualLayout>
              <c:x val="-0.18492732264789111"/>
              <c:y val="7.913384784181122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lumMod val="40000"/>
              <a:lumOff val="60000"/>
            </a:schemeClr>
          </a:solidFill>
          <a:ln>
            <a:noFill/>
          </a:ln>
          <a:effectLst>
            <a:outerShdw blurRad="254000" sx="102000" sy="102000" algn="ctr" rotWithShape="0">
              <a:prstClr val="black">
                <a:alpha val="20000"/>
              </a:prstClr>
            </a:outerShdw>
          </a:effectLst>
        </c:spPr>
        <c:dLbl>
          <c:idx val="0"/>
          <c:layout>
            <c:manualLayout>
              <c:x val="-0.10321524984998574"/>
              <c:y val="-7.253936052166029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3">
              <a:lumMod val="60000"/>
              <a:lumOff val="40000"/>
            </a:schemeClr>
          </a:solidFill>
          <a:ln>
            <a:noFill/>
          </a:ln>
          <a:effectLst>
            <a:outerShdw blurRad="254000" sx="102000" sy="102000" algn="ctr" rotWithShape="0">
              <a:prstClr val="black">
                <a:alpha val="20000"/>
              </a:prstClr>
            </a:outerShdw>
          </a:effectLst>
        </c:spPr>
        <c:dLbl>
          <c:idx val="0"/>
          <c:layout>
            <c:manualLayout>
              <c:x val="0.11611715608123392"/>
              <c:y val="-8.57283351619621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F0000"/>
          </a:solidFill>
          <a:ln>
            <a:noFill/>
          </a:ln>
          <a:effectLst>
            <a:outerShdw blurRad="254000" sx="102000" sy="102000" algn="ctr" rotWithShape="0">
              <a:prstClr val="black">
                <a:alpha val="20000"/>
              </a:prstClr>
            </a:outerShdw>
          </a:effectLst>
        </c:spPr>
        <c:dLbl>
          <c:idx val="0"/>
          <c:layout>
            <c:manualLayout>
              <c:x val="-0.18492732264789111"/>
              <c:y val="7.913384784181122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lumMod val="40000"/>
              <a:lumOff val="60000"/>
            </a:schemeClr>
          </a:solidFill>
          <a:ln>
            <a:noFill/>
          </a:ln>
          <a:effectLst>
            <a:outerShdw blurRad="254000" sx="102000" sy="102000" algn="ctr" rotWithShape="0">
              <a:prstClr val="black">
                <a:alpha val="20000"/>
              </a:prstClr>
            </a:outerShdw>
          </a:effectLst>
        </c:spPr>
        <c:dLbl>
          <c:idx val="0"/>
          <c:layout>
            <c:manualLayout>
              <c:x val="-0.10321524984998574"/>
              <c:y val="-7.253936052166029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3">
              <a:lumMod val="60000"/>
              <a:lumOff val="40000"/>
            </a:schemeClr>
          </a:solidFill>
          <a:ln>
            <a:noFill/>
          </a:ln>
          <a:effectLst>
            <a:outerShdw blurRad="254000" sx="102000" sy="102000" algn="ctr" rotWithShape="0">
              <a:prstClr val="black">
                <a:alpha val="20000"/>
              </a:prstClr>
            </a:outerShdw>
          </a:effectLst>
        </c:spPr>
        <c:dLbl>
          <c:idx val="0"/>
          <c:layout>
            <c:manualLayout>
              <c:x val="0.16116224687442474"/>
              <c:y val="-8.57283579392599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FF0000"/>
          </a:solidFill>
          <a:ln>
            <a:noFill/>
          </a:ln>
          <a:effectLst>
            <a:outerShdw blurRad="254000" sx="102000" sy="102000" algn="ctr" rotWithShape="0">
              <a:prstClr val="black">
                <a:alpha val="20000"/>
              </a:prstClr>
            </a:outerShdw>
          </a:effectLst>
        </c:spPr>
        <c:dLbl>
          <c:idx val="0"/>
          <c:layout>
            <c:manualLayout>
              <c:x val="0.23323429338359461"/>
              <c:y val="3.124152988017055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lumMod val="40000"/>
              <a:lumOff val="60000"/>
            </a:schemeClr>
          </a:solidFill>
          <a:ln>
            <a:noFill/>
          </a:ln>
          <a:effectLst>
            <a:outerShdw blurRad="254000" sx="102000" sy="102000" algn="ctr" rotWithShape="0">
              <a:prstClr val="black">
                <a:alpha val="20000"/>
              </a:prstClr>
            </a:outerShdw>
          </a:effectLst>
        </c:spPr>
        <c:dLbl>
          <c:idx val="0"/>
          <c:layout>
            <c:manualLayout>
              <c:x val="-0.1662782271837174"/>
              <c:y val="-0.156089232191586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'location pivots'!$B$1</c:f>
              <c:strCache>
                <c:ptCount val="1"/>
                <c:pt idx="0">
                  <c:v>Total</c:v>
                </c:pt>
              </c:strCache>
            </c:strRef>
          </c:tx>
          <c:dPt>
            <c:idx val="0"/>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C5-4C57-A653-75089C09BB77}"/>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C5-4C57-A653-75089C09BB77}"/>
              </c:ext>
            </c:extLst>
          </c:dPt>
          <c:dPt>
            <c:idx val="2"/>
            <c:bubble3D val="0"/>
            <c:spPr>
              <a:solidFill>
                <a:schemeClr val="accent1">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DC5-4C57-A653-75089C09BB77}"/>
              </c:ext>
            </c:extLst>
          </c:dPt>
          <c:dLbls>
            <c:dLbl>
              <c:idx val="0"/>
              <c:layout>
                <c:manualLayout>
                  <c:x val="0.16116224687442474"/>
                  <c:y val="-8.57283579392599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C5-4C57-A653-75089C09BB77}"/>
                </c:ext>
              </c:extLst>
            </c:dLbl>
            <c:dLbl>
              <c:idx val="1"/>
              <c:layout>
                <c:manualLayout>
                  <c:x val="0.23323429338359461"/>
                  <c:y val="3.12415298801705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C5-4C57-A653-75089C09BB77}"/>
                </c:ext>
              </c:extLst>
            </c:dLbl>
            <c:dLbl>
              <c:idx val="2"/>
              <c:layout>
                <c:manualLayout>
                  <c:x val="-0.1662782271837174"/>
                  <c:y val="-0.156089232191586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DC5-4C57-A653-75089C09BB7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'location pivots'!$A$2:$A$5</c:f>
              <c:strCache>
                <c:ptCount val="3"/>
                <c:pt idx="0">
                  <c:v>SD</c:v>
                </c:pt>
                <c:pt idx="1">
                  <c:v>SE</c:v>
                </c:pt>
                <c:pt idx="2">
                  <c:v>SK</c:v>
                </c:pt>
              </c:strCache>
            </c:strRef>
          </c:cat>
          <c:val>
            <c:numRef>
              <c:f>'location pivots'!$B$2:$B$5</c:f>
              <c:numCache>
                <c:formatCode>General</c:formatCode>
                <c:ptCount val="3"/>
                <c:pt idx="0">
                  <c:v>254</c:v>
                </c:pt>
                <c:pt idx="1">
                  <c:v>647</c:v>
                </c:pt>
                <c:pt idx="2">
                  <c:v>305</c:v>
                </c:pt>
              </c:numCache>
            </c:numRef>
          </c:val>
          <c:extLst>
            <c:ext xmlns:c16="http://schemas.microsoft.com/office/drawing/2014/chart" uri="{C3380CC4-5D6E-409C-BE32-E72D297353CC}">
              <c16:uniqueId val="{00000006-1DC5-4C57-A653-75089C09BB7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[CC13 Excel project.xlsx]class pivots!PivotTable5</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Class count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pivotFmt>
      <c:pivotFmt>
        <c:idx val="14"/>
        <c:spPr>
          <a:solidFill>
            <a:schemeClr val="accent1">
              <a:alpha val="85000"/>
            </a:schemeClr>
          </a:solidFill>
          <a:ln w="9525" cap="flat" cmpd="sng" algn="ctr">
            <a:solidFill>
              <a:schemeClr val="lt1">
                <a:alpha val="50000"/>
              </a:schemeClr>
            </a:solidFill>
            <a:round/>
          </a:ln>
          <a:effectLst/>
        </c:spPr>
      </c:pivotFmt>
      <c:pivotFmt>
        <c:idx val="15"/>
        <c:spPr>
          <a:solidFill>
            <a:schemeClr val="accent1">
              <a:alpha val="85000"/>
            </a:schemeClr>
          </a:solidFill>
          <a:ln w="9525" cap="flat" cmpd="sng" algn="ctr">
            <a:solidFill>
              <a:schemeClr val="lt1">
                <a:alpha val="50000"/>
              </a:schemeClr>
            </a:solidFill>
            <a:round/>
          </a:ln>
          <a:effectLst/>
        </c:spPr>
      </c:pivotFmt>
      <c:pivotFmt>
        <c:idx val="16"/>
        <c:spPr>
          <a:solidFill>
            <a:schemeClr val="accent1">
              <a:alpha val="85000"/>
            </a:schemeClr>
          </a:solidFill>
          <a:ln w="9525" cap="flat" cmpd="sng" algn="ctr">
            <a:solidFill>
              <a:schemeClr val="lt1">
                <a:alpha val="50000"/>
              </a:schemeClr>
            </a:solidFill>
            <a:round/>
          </a:ln>
          <a:effectLst/>
        </c:spPr>
      </c:pivotFmt>
      <c:pivotFmt>
        <c:idx val="17"/>
        <c:spPr>
          <a:solidFill>
            <a:schemeClr val="accent1">
              <a:alpha val="85000"/>
            </a:schemeClr>
          </a:solidFill>
          <a:ln w="9525" cap="flat" cmpd="sng" algn="ctr">
            <a:solidFill>
              <a:schemeClr val="lt1">
                <a:alpha val="50000"/>
              </a:schemeClr>
            </a:solidFill>
            <a:round/>
          </a:ln>
          <a:effectLst/>
        </c:spPr>
      </c:pivotFmt>
      <c:pivotFmt>
        <c:idx val="18"/>
        <c:spPr>
          <a:solidFill>
            <a:schemeClr val="accent1">
              <a:alpha val="85000"/>
            </a:schemeClr>
          </a:solidFill>
          <a:ln w="9525" cap="flat" cmpd="sng" algn="ctr">
            <a:solidFill>
              <a:schemeClr val="lt1">
                <a:alpha val="50000"/>
              </a:schemeClr>
            </a:solidFill>
            <a:round/>
          </a:ln>
          <a:effectLst/>
        </c:spPr>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6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3399FF"/>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6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3399FF"/>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'class pivots'!$B$16:$B$17</c:f>
              <c:strCache>
                <c:ptCount val="1"/>
                <c:pt idx="0">
                  <c:v>Jan</c:v>
                </c:pt>
              </c:strCache>
            </c:strRef>
          </c:tx>
          <c:spPr>
            <a:solidFill>
              <a:srgbClr val="FF0066"/>
            </a:solidFill>
            <a:ln w="9525" cap="flat" cmpd="sng" algn="ctr">
              <a:solidFill>
                <a:schemeClr val="lt1">
                  <a:alpha val="50000"/>
                </a:schemeClr>
              </a:solidFill>
              <a:round/>
            </a:ln>
            <a:effectLst/>
          </c:spPr>
          <c:invertIfNegative val="0"/>
          <c:cat>
            <c:strRef>
              <c:f>'class pivots'!$A$18:$A$25</c:f>
              <c:strCache>
                <c:ptCount val="7"/>
                <c:pt idx="0">
                  <c:v>Bryopsida</c:v>
                </c:pt>
                <c:pt idx="1">
                  <c:v>Insecta</c:v>
                </c:pt>
                <c:pt idx="2">
                  <c:v>Jungermanniopsida</c:v>
                </c:pt>
                <c:pt idx="3">
                  <c:v>Mammalia</c:v>
                </c:pt>
                <c:pt idx="4">
                  <c:v>Marchantiopsida</c:v>
                </c:pt>
                <c:pt idx="5">
                  <c:v>Polytrichopsida</c:v>
                </c:pt>
                <c:pt idx="6">
                  <c:v>Sphagnopsida</c:v>
                </c:pt>
              </c:strCache>
            </c:strRef>
          </c:cat>
          <c:val>
            <c:numRef>
              <c:f>'class pivots'!$B$18:$B$25</c:f>
              <c:numCache>
                <c:formatCode>General</c:formatCode>
                <c:ptCount val="7"/>
                <c:pt idx="0">
                  <c:v>85</c:v>
                </c:pt>
                <c:pt idx="1">
                  <c:v>15</c:v>
                </c:pt>
                <c:pt idx="2">
                  <c:v>3</c:v>
                </c:pt>
                <c:pt idx="3">
                  <c:v>3</c:v>
                </c:pt>
                <c:pt idx="4">
                  <c:v>1</c:v>
                </c:pt>
                <c:pt idx="5">
                  <c:v>12</c:v>
                </c:pt>
                <c:pt idx="6">
                  <c:v>11</c:v>
                </c:pt>
              </c:numCache>
            </c:numRef>
          </c:val>
          <c:extLst>
            <c:ext xmlns:c16="http://schemas.microsoft.com/office/drawing/2014/chart" uri="{C3380CC4-5D6E-409C-BE32-E72D297353CC}">
              <c16:uniqueId val="{00000000-04A9-4D58-B434-CBA0E0308D39}"/>
            </c:ext>
          </c:extLst>
        </c:ser>
        <c:ser>
          <c:idx val="1"/>
          <c:order val="1"/>
          <c:tx>
            <c:strRef>
              <c:f>'class pivots'!$C$16:$C$17</c:f>
              <c:strCache>
                <c:ptCount val="1"/>
                <c:pt idx="0">
                  <c:v>Feb</c:v>
                </c:pt>
              </c:strCache>
            </c:strRef>
          </c:tx>
          <c:spPr>
            <a:solidFill>
              <a:srgbClr val="3399FF"/>
            </a:solidFill>
            <a:ln w="9525" cap="flat" cmpd="sng" algn="ctr">
              <a:solidFill>
                <a:schemeClr val="lt1">
                  <a:alpha val="50000"/>
                </a:schemeClr>
              </a:solidFill>
              <a:round/>
            </a:ln>
            <a:effectLst/>
          </c:spPr>
          <c:invertIfNegative val="0"/>
          <c:cat>
            <c:strRef>
              <c:f>'class pivots'!$A$18:$A$25</c:f>
              <c:strCache>
                <c:ptCount val="7"/>
                <c:pt idx="0">
                  <c:v>Bryopsida</c:v>
                </c:pt>
                <c:pt idx="1">
                  <c:v>Insecta</c:v>
                </c:pt>
                <c:pt idx="2">
                  <c:v>Jungermanniopsida</c:v>
                </c:pt>
                <c:pt idx="3">
                  <c:v>Mammalia</c:v>
                </c:pt>
                <c:pt idx="4">
                  <c:v>Marchantiopsida</c:v>
                </c:pt>
                <c:pt idx="5">
                  <c:v>Polytrichopsida</c:v>
                </c:pt>
                <c:pt idx="6">
                  <c:v>Sphagnopsida</c:v>
                </c:pt>
              </c:strCache>
            </c:strRef>
          </c:cat>
          <c:val>
            <c:numRef>
              <c:f>'class pivots'!$C$18:$C$25</c:f>
              <c:numCache>
                <c:formatCode>General</c:formatCode>
                <c:ptCount val="7"/>
                <c:pt idx="0">
                  <c:v>242</c:v>
                </c:pt>
                <c:pt idx="1">
                  <c:v>36</c:v>
                </c:pt>
                <c:pt idx="2">
                  <c:v>16</c:v>
                </c:pt>
                <c:pt idx="3">
                  <c:v>2</c:v>
                </c:pt>
                <c:pt idx="4">
                  <c:v>8</c:v>
                </c:pt>
                <c:pt idx="5">
                  <c:v>20</c:v>
                </c:pt>
                <c:pt idx="6">
                  <c:v>4</c:v>
                </c:pt>
              </c:numCache>
            </c:numRef>
          </c:val>
          <c:extLst>
            <c:ext xmlns:c16="http://schemas.microsoft.com/office/drawing/2014/chart" uri="{C3380CC4-5D6E-409C-BE32-E72D297353CC}">
              <c16:uniqueId val="{00000001-04A9-4D58-B434-CBA0E0308D39}"/>
            </c:ext>
          </c:extLst>
        </c:ser>
        <c:dLbls>
          <c:showLegendKey val="0"/>
          <c:showVal val="0"/>
          <c:showCatName val="0"/>
          <c:showSerName val="0"/>
          <c:showPercent val="0"/>
          <c:showBubbleSize val="0"/>
        </c:dLbls>
        <c:gapWidth val="150"/>
        <c:axId val="1241065200"/>
        <c:axId val="1241063280"/>
      </c:barChart>
      <c:catAx>
        <c:axId val="12410652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1063280"/>
        <c:crosses val="autoZero"/>
        <c:auto val="1"/>
        <c:lblAlgn val="ctr"/>
        <c:lblOffset val="100"/>
        <c:noMultiLvlLbl val="0"/>
      </c:catAx>
      <c:valAx>
        <c:axId val="12410632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4106520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[CC13 Excel project.xlsx]class pivots!PivotTable4</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Class count by area</a:t>
            </a:r>
          </a:p>
        </c:rich>
      </c:tx>
      <c:layout>
        <c:manualLayout>
          <c:xMode val="edge"/>
          <c:yMode val="edge"/>
          <c:x val="0.36006737475572564"/>
          <c:y val="2.435175128970947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2"/>
            </a:solidFill>
            <a:ln>
              <a:noFill/>
            </a:ln>
            <a:effectLst/>
          </c:spPr>
        </c:marker>
      </c:pivotFmt>
      <c:pivotFmt>
        <c:idx val="98"/>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3"/>
            </a:solidFill>
            <a:ln>
              <a:noFill/>
            </a:ln>
            <a:effectLst/>
          </c:spPr>
        </c:marker>
      </c:pivotFmt>
      <c:pivotFmt>
        <c:idx val="99"/>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pivotFmt>
      <c:pivotFmt>
        <c:idx val="10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00B05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4"/>
        <c:spPr>
          <a:solidFill>
            <a:srgbClr val="FF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lumMod val="40000"/>
              <a:lumOff val="6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0382008323726"/>
          <c:y val="0.14480807086614172"/>
          <c:w val="0.86435090473503895"/>
          <c:h val="0.52241181328627029"/>
        </c:manualLayout>
      </c:layout>
      <c:barChart>
        <c:barDir val="col"/>
        <c:grouping val="clustered"/>
        <c:varyColors val="0"/>
        <c:ser>
          <c:idx val="0"/>
          <c:order val="0"/>
          <c:tx>
            <c:strRef>
              <c:f>'class pivots'!$B$2:$B$3</c:f>
              <c:strCache>
                <c:ptCount val="1"/>
                <c:pt idx="0">
                  <c:v>SD</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pivots'!$A$4:$A$11</c:f>
              <c:strCache>
                <c:ptCount val="7"/>
                <c:pt idx="0">
                  <c:v>Bryopsida</c:v>
                </c:pt>
                <c:pt idx="1">
                  <c:v>Insecta</c:v>
                </c:pt>
                <c:pt idx="2">
                  <c:v>Jungermanniopsida</c:v>
                </c:pt>
                <c:pt idx="3">
                  <c:v>Mammalia</c:v>
                </c:pt>
                <c:pt idx="4">
                  <c:v>Marchantiopsida</c:v>
                </c:pt>
                <c:pt idx="5">
                  <c:v>Polytrichopsida</c:v>
                </c:pt>
                <c:pt idx="6">
                  <c:v>Sphagnopsida</c:v>
                </c:pt>
              </c:strCache>
            </c:strRef>
          </c:cat>
          <c:val>
            <c:numRef>
              <c:f>'class pivots'!$B$4:$B$11</c:f>
              <c:numCache>
                <c:formatCode>General</c:formatCode>
                <c:ptCount val="7"/>
                <c:pt idx="0">
                  <c:v>153</c:v>
                </c:pt>
                <c:pt idx="1">
                  <c:v>23</c:v>
                </c:pt>
                <c:pt idx="2">
                  <c:v>26</c:v>
                </c:pt>
                <c:pt idx="5">
                  <c:v>35</c:v>
                </c:pt>
                <c:pt idx="6">
                  <c:v>17</c:v>
                </c:pt>
              </c:numCache>
            </c:numRef>
          </c:val>
          <c:extLst>
            <c:ext xmlns:c16="http://schemas.microsoft.com/office/drawing/2014/chart" uri="{C3380CC4-5D6E-409C-BE32-E72D297353CC}">
              <c16:uniqueId val="{00000000-5830-4BC7-9F9A-D6AB73F8F97E}"/>
            </c:ext>
          </c:extLst>
        </c:ser>
        <c:ser>
          <c:idx val="1"/>
          <c:order val="1"/>
          <c:tx>
            <c:strRef>
              <c:f>'class pivots'!$C$2:$C$3</c:f>
              <c:strCache>
                <c:ptCount val="1"/>
                <c:pt idx="0">
                  <c:v>SE</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pivots'!$A$4:$A$11</c:f>
              <c:strCache>
                <c:ptCount val="7"/>
                <c:pt idx="0">
                  <c:v>Bryopsida</c:v>
                </c:pt>
                <c:pt idx="1">
                  <c:v>Insecta</c:v>
                </c:pt>
                <c:pt idx="2">
                  <c:v>Jungermanniopsida</c:v>
                </c:pt>
                <c:pt idx="3">
                  <c:v>Mammalia</c:v>
                </c:pt>
                <c:pt idx="4">
                  <c:v>Marchantiopsida</c:v>
                </c:pt>
                <c:pt idx="5">
                  <c:v>Polytrichopsida</c:v>
                </c:pt>
                <c:pt idx="6">
                  <c:v>Sphagnopsida</c:v>
                </c:pt>
              </c:strCache>
            </c:strRef>
          </c:cat>
          <c:val>
            <c:numRef>
              <c:f>'class pivots'!$C$4:$C$11</c:f>
              <c:numCache>
                <c:formatCode>General</c:formatCode>
                <c:ptCount val="7"/>
                <c:pt idx="0">
                  <c:v>444</c:v>
                </c:pt>
                <c:pt idx="1">
                  <c:v>58</c:v>
                </c:pt>
                <c:pt idx="2">
                  <c:v>5</c:v>
                </c:pt>
                <c:pt idx="3">
                  <c:v>12</c:v>
                </c:pt>
                <c:pt idx="4">
                  <c:v>9</c:v>
                </c:pt>
                <c:pt idx="5">
                  <c:v>78</c:v>
                </c:pt>
                <c:pt idx="6">
                  <c:v>41</c:v>
                </c:pt>
              </c:numCache>
            </c:numRef>
          </c:val>
          <c:extLst>
            <c:ext xmlns:c16="http://schemas.microsoft.com/office/drawing/2014/chart" uri="{C3380CC4-5D6E-409C-BE32-E72D297353CC}">
              <c16:uniqueId val="{00000000-66DF-4AE8-8B26-43C58C261D68}"/>
            </c:ext>
          </c:extLst>
        </c:ser>
        <c:ser>
          <c:idx val="2"/>
          <c:order val="2"/>
          <c:tx>
            <c:strRef>
              <c:f>'class pivots'!$D$2:$D$3</c:f>
              <c:strCache>
                <c:ptCount val="1"/>
                <c:pt idx="0">
                  <c:v>SK</c:v>
                </c:pt>
              </c:strCache>
            </c:strRef>
          </c:tx>
          <c:spPr>
            <a:solidFill>
              <a:schemeClr val="accent1">
                <a:lumMod val="40000"/>
                <a:lumOff val="6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pivots'!$A$4:$A$11</c:f>
              <c:strCache>
                <c:ptCount val="7"/>
                <c:pt idx="0">
                  <c:v>Bryopsida</c:v>
                </c:pt>
                <c:pt idx="1">
                  <c:v>Insecta</c:v>
                </c:pt>
                <c:pt idx="2">
                  <c:v>Jungermanniopsida</c:v>
                </c:pt>
                <c:pt idx="3">
                  <c:v>Mammalia</c:v>
                </c:pt>
                <c:pt idx="4">
                  <c:v>Marchantiopsida</c:v>
                </c:pt>
                <c:pt idx="5">
                  <c:v>Polytrichopsida</c:v>
                </c:pt>
                <c:pt idx="6">
                  <c:v>Sphagnopsida</c:v>
                </c:pt>
              </c:strCache>
            </c:strRef>
          </c:cat>
          <c:val>
            <c:numRef>
              <c:f>'class pivots'!$D$4:$D$11</c:f>
              <c:numCache>
                <c:formatCode>General</c:formatCode>
                <c:ptCount val="7"/>
                <c:pt idx="0">
                  <c:v>245</c:v>
                </c:pt>
                <c:pt idx="1">
                  <c:v>38</c:v>
                </c:pt>
                <c:pt idx="2">
                  <c:v>13</c:v>
                </c:pt>
                <c:pt idx="4">
                  <c:v>7</c:v>
                </c:pt>
                <c:pt idx="5">
                  <c:v>2</c:v>
                </c:pt>
              </c:numCache>
            </c:numRef>
          </c:val>
          <c:extLst>
            <c:ext xmlns:c16="http://schemas.microsoft.com/office/drawing/2014/chart" uri="{C3380CC4-5D6E-409C-BE32-E72D297353CC}">
              <c16:uniqueId val="{00000002-66DF-4AE8-8B26-43C58C261D68}"/>
            </c:ext>
          </c:extLst>
        </c:ser>
        <c:dLbls>
          <c:dLblPos val="ctr"/>
          <c:showLegendKey val="0"/>
          <c:showVal val="1"/>
          <c:showCatName val="0"/>
          <c:showSerName val="0"/>
          <c:showPercent val="0"/>
          <c:showBubbleSize val="0"/>
        </c:dLbls>
        <c:gapWidth val="150"/>
        <c:axId val="758071615"/>
        <c:axId val="758042815"/>
      </c:barChart>
      <c:catAx>
        <c:axId val="7580716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8042815"/>
        <c:crosses val="autoZero"/>
        <c:auto val="1"/>
        <c:lblAlgn val="ctr"/>
        <c:lblOffset val="100"/>
        <c:noMultiLvlLbl val="0"/>
      </c:catAx>
      <c:valAx>
        <c:axId val="75804281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5807161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396239</xdr:colOff>
      <xdr:row>6</xdr:row>
      <xdr:rowOff>42333</xdr:rowOff>
    </xdr:from>
    <xdr:to>
      <xdr:col>5</xdr:col>
      <xdr:colOff>253998</xdr:colOff>
      <xdr:row>11</xdr:row>
      <xdr:rowOff>159173</xdr:rowOff>
    </xdr:to>
    <xdr:sp macro="" textlink="">
      <xdr:nvSpPr>
        <xdr:cNvPr id="2" name="Rectangle: Top Corners Rounded 1">
          <a:extLst>
            <a:ext uri="{FF2B5EF4-FFF2-40B4-BE49-F238E27FC236}">
              <a16:creationId xmlns:a16="http://schemas.microsoft.com/office/drawing/2014/main" id="{C6AE24C5-2F0C-4553-4EDF-0B005BC18AE8}"/>
            </a:ext>
          </a:extLst>
        </xdr:cNvPr>
        <xdr:cNvSpPr/>
      </xdr:nvSpPr>
      <xdr:spPr>
        <a:xfrm>
          <a:off x="1615439" y="1244600"/>
          <a:ext cx="1686559" cy="1065106"/>
        </a:xfrm>
        <a:prstGeom prst="round2Same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tx1"/>
              </a:solidFill>
            </a:rPr>
            <a:t>Total species</a:t>
          </a:r>
          <a:r>
            <a:rPr lang="en-GB" sz="1600" b="1" baseline="0">
              <a:solidFill>
                <a:schemeClr val="tx1"/>
              </a:solidFill>
            </a:rPr>
            <a:t> count </a:t>
          </a:r>
        </a:p>
        <a:p>
          <a:pPr algn="ctr"/>
          <a:r>
            <a:rPr lang="en-GB" sz="1600" b="1" baseline="0">
              <a:solidFill>
                <a:schemeClr val="tx1"/>
              </a:solidFill>
            </a:rPr>
            <a:t>1206</a:t>
          </a:r>
          <a:endParaRPr lang="en-GB" sz="1600" b="1">
            <a:solidFill>
              <a:schemeClr val="tx1"/>
            </a:solidFill>
          </a:endParaRPr>
        </a:p>
      </xdr:txBody>
    </xdr:sp>
    <xdr:clientData/>
  </xdr:twoCellAnchor>
  <xdr:twoCellAnchor>
    <xdr:from>
      <xdr:col>5</xdr:col>
      <xdr:colOff>279400</xdr:colOff>
      <xdr:row>7</xdr:row>
      <xdr:rowOff>59267</xdr:rowOff>
    </xdr:from>
    <xdr:to>
      <xdr:col>8</xdr:col>
      <xdr:colOff>82127</xdr:colOff>
      <xdr:row>11</xdr:row>
      <xdr:rowOff>177801</xdr:rowOff>
    </xdr:to>
    <xdr:sp macro="" textlink="">
      <xdr:nvSpPr>
        <xdr:cNvPr id="3" name="Rectangle: Top Corners Snipped 2">
          <a:extLst>
            <a:ext uri="{FF2B5EF4-FFF2-40B4-BE49-F238E27FC236}">
              <a16:creationId xmlns:a16="http://schemas.microsoft.com/office/drawing/2014/main" id="{BA61B902-1195-E735-E11B-14CCE5E17E08}"/>
            </a:ext>
          </a:extLst>
        </xdr:cNvPr>
        <xdr:cNvSpPr/>
      </xdr:nvSpPr>
      <xdr:spPr>
        <a:xfrm>
          <a:off x="3327400" y="1447800"/>
          <a:ext cx="1631527" cy="880534"/>
        </a:xfrm>
        <a:prstGeom prst="snip2Same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tx1"/>
              </a:solidFill>
            </a:rPr>
            <a:t>Animalia count</a:t>
          </a:r>
        </a:p>
        <a:p>
          <a:pPr algn="ctr"/>
          <a:r>
            <a:rPr lang="en-GB" sz="1600" b="1">
              <a:solidFill>
                <a:schemeClr val="tx1"/>
              </a:solidFill>
            </a:rPr>
            <a:t>131</a:t>
          </a:r>
        </a:p>
      </xdr:txBody>
    </xdr:sp>
    <xdr:clientData/>
  </xdr:twoCellAnchor>
  <xdr:twoCellAnchor>
    <xdr:from>
      <xdr:col>10</xdr:col>
      <xdr:colOff>441961</xdr:colOff>
      <xdr:row>0</xdr:row>
      <xdr:rowOff>42334</xdr:rowOff>
    </xdr:from>
    <xdr:to>
      <xdr:col>17</xdr:col>
      <xdr:colOff>91441</xdr:colOff>
      <xdr:row>11</xdr:row>
      <xdr:rowOff>159174</xdr:rowOff>
    </xdr:to>
    <xdr:graphicFrame macro="">
      <xdr:nvGraphicFramePr>
        <xdr:cNvPr id="6" name="Chart 5">
          <a:extLst>
            <a:ext uri="{FF2B5EF4-FFF2-40B4-BE49-F238E27FC236}">
              <a16:creationId xmlns:a16="http://schemas.microsoft.com/office/drawing/2014/main" id="{47FF5A39-781C-46B9-B87B-404F72258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110066</xdr:colOff>
      <xdr:row>0</xdr:row>
      <xdr:rowOff>22859</xdr:rowOff>
    </xdr:from>
    <xdr:to>
      <xdr:col>21</xdr:col>
      <xdr:colOff>491067</xdr:colOff>
      <xdr:row>11</xdr:row>
      <xdr:rowOff>169333</xdr:rowOff>
    </xdr:to>
    <xdr:graphicFrame macro="">
      <xdr:nvGraphicFramePr>
        <xdr:cNvPr id="7" name="Chart 6">
          <a:extLst>
            <a:ext uri="{FF2B5EF4-FFF2-40B4-BE49-F238E27FC236}">
              <a16:creationId xmlns:a16="http://schemas.microsoft.com/office/drawing/2014/main" id="{97387BAE-2AC7-4C44-AB38-870460862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59267</xdr:colOff>
      <xdr:row>11</xdr:row>
      <xdr:rowOff>184573</xdr:rowOff>
    </xdr:from>
    <xdr:to>
      <xdr:col>10</xdr:col>
      <xdr:colOff>383661</xdr:colOff>
      <xdr:row>28</xdr:row>
      <xdr:rowOff>177799</xdr:rowOff>
    </xdr:to>
    <xdr:graphicFrame macro="">
      <xdr:nvGraphicFramePr>
        <xdr:cNvPr id="8" name="Chart 8">
          <a:extLst>
            <a:ext uri="{FF2B5EF4-FFF2-40B4-BE49-F238E27FC236}">
              <a16:creationId xmlns:a16="http://schemas.microsoft.com/office/drawing/2014/main" id="{4A3BDABD-5494-45DF-8B1D-7A1D3BFC7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575733</xdr:colOff>
      <xdr:row>0</xdr:row>
      <xdr:rowOff>177801</xdr:rowOff>
    </xdr:from>
    <xdr:to>
      <xdr:col>7</xdr:col>
      <xdr:colOff>397933</xdr:colOff>
      <xdr:row>7</xdr:row>
      <xdr:rowOff>57113</xdr:rowOff>
    </xdr:to>
    <mc:AlternateContent xmlns:mc="http://schemas.openxmlformats.org/markup-compatibility/2006" xmlns:a14="http://schemas.microsoft.com/office/drawing/2010/main">
      <mc:Choice Requires="a14">
        <xdr:graphicFrame macro="">
          <xdr:nvGraphicFramePr>
            <xdr:cNvPr id="10" name="Area">
              <a:extLst>
                <a:ext uri="{FF2B5EF4-FFF2-40B4-BE49-F238E27FC236}">
                  <a16:creationId xmlns:a16="http://schemas.microsoft.com/office/drawing/2014/main" id="{78D1E516-69CE-4FCB-BE5C-3CCC0A703341}"/>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3623733" y="177801"/>
              <a:ext cx="1041400" cy="12678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389467</xdr:colOff>
      <xdr:row>11</xdr:row>
      <xdr:rowOff>169332</xdr:rowOff>
    </xdr:from>
    <xdr:to>
      <xdr:col>21</xdr:col>
      <xdr:colOff>516467</xdr:colOff>
      <xdr:row>28</xdr:row>
      <xdr:rowOff>177800</xdr:rowOff>
    </xdr:to>
    <xdr:graphicFrame macro="">
      <xdr:nvGraphicFramePr>
        <xdr:cNvPr id="13" name="Chart 12">
          <a:extLst>
            <a:ext uri="{FF2B5EF4-FFF2-40B4-BE49-F238E27FC236}">
              <a16:creationId xmlns:a16="http://schemas.microsoft.com/office/drawing/2014/main" id="{F02DC41B-A9B4-4295-A121-A745D618D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152400</xdr:colOff>
      <xdr:row>0</xdr:row>
      <xdr:rowOff>25400</xdr:rowOff>
    </xdr:from>
    <xdr:to>
      <xdr:col>10</xdr:col>
      <xdr:colOff>516467</xdr:colOff>
      <xdr:row>12</xdr:row>
      <xdr:rowOff>35560</xdr:rowOff>
    </xdr:to>
    <mc:AlternateContent xmlns:mc="http://schemas.openxmlformats.org/markup-compatibility/2006" xmlns:a14="http://schemas.microsoft.com/office/drawing/2010/main">
      <mc:Choice Requires="a14">
        <xdr:graphicFrame macro="">
          <xdr:nvGraphicFramePr>
            <xdr:cNvPr id="12" name="Class 1">
              <a:extLst>
                <a:ext uri="{FF2B5EF4-FFF2-40B4-BE49-F238E27FC236}">
                  <a16:creationId xmlns:a16="http://schemas.microsoft.com/office/drawing/2014/main" id="{EECE9DE9-F005-4D16-9201-756E282DB7BA}"/>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5029200" y="25400"/>
              <a:ext cx="1583267" cy="2346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558800</xdr:colOff>
      <xdr:row>0</xdr:row>
      <xdr:rowOff>220133</xdr:rowOff>
    </xdr:from>
    <xdr:to>
      <xdr:col>5</xdr:col>
      <xdr:colOff>93980</xdr:colOff>
      <xdr:row>6</xdr:row>
      <xdr:rowOff>23706</xdr:rowOff>
    </xdr:to>
    <mc:AlternateContent xmlns:mc="http://schemas.openxmlformats.org/markup-compatibility/2006" xmlns:a14="http://schemas.microsoft.com/office/drawing/2010/main">
      <mc:Choice Requires="a14">
        <xdr:graphicFrame macro="">
          <xdr:nvGraphicFramePr>
            <xdr:cNvPr id="11" name="Month 1">
              <a:extLst>
                <a:ext uri="{FF2B5EF4-FFF2-40B4-BE49-F238E27FC236}">
                  <a16:creationId xmlns:a16="http://schemas.microsoft.com/office/drawing/2014/main" id="{B2071A80-67D7-412C-BB83-ECA24317542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778000" y="220133"/>
              <a:ext cx="1363980" cy="1005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110067</xdr:colOff>
      <xdr:row>0</xdr:row>
      <xdr:rowOff>25400</xdr:rowOff>
    </xdr:from>
    <xdr:to>
      <xdr:col>2</xdr:col>
      <xdr:colOff>414867</xdr:colOff>
      <xdr:row>8</xdr:row>
      <xdr:rowOff>33867</xdr:rowOff>
    </xdr:to>
    <xdr:sp macro="" textlink="">
      <xdr:nvSpPr>
        <xdr:cNvPr id="14" name="Rectangle: Rounded Corners 13">
          <a:extLst>
            <a:ext uri="{FF2B5EF4-FFF2-40B4-BE49-F238E27FC236}">
              <a16:creationId xmlns:a16="http://schemas.microsoft.com/office/drawing/2014/main" id="{92950758-5E8E-9888-08E7-D7ED52C0C32C}"/>
            </a:ext>
          </a:extLst>
        </xdr:cNvPr>
        <xdr:cNvSpPr/>
      </xdr:nvSpPr>
      <xdr:spPr>
        <a:xfrm>
          <a:off x="110067" y="25400"/>
          <a:ext cx="1524000" cy="1583267"/>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700" b="1" i="1">
              <a:solidFill>
                <a:schemeClr val="tx1"/>
              </a:solidFill>
            </a:rPr>
            <a:t>Species Monitoring Dashboard</a:t>
          </a:r>
        </a:p>
        <a:p>
          <a:pPr algn="ctr"/>
          <a:r>
            <a:rPr lang="en-GB" sz="1700" b="1" i="1">
              <a:solidFill>
                <a:schemeClr val="tx1"/>
              </a:solidFill>
            </a:rPr>
            <a:t>Jan - Feb 2026</a:t>
          </a:r>
        </a:p>
      </xdr:txBody>
    </xdr:sp>
    <xdr:clientData/>
  </xdr:twoCellAnchor>
  <xdr:twoCellAnchor>
    <xdr:from>
      <xdr:col>22</xdr:col>
      <xdr:colOff>1</xdr:colOff>
      <xdr:row>22</xdr:row>
      <xdr:rowOff>110067</xdr:rowOff>
    </xdr:from>
    <xdr:to>
      <xdr:col>24</xdr:col>
      <xdr:colOff>84667</xdr:colOff>
      <xdr:row>29</xdr:row>
      <xdr:rowOff>1</xdr:rowOff>
    </xdr:to>
    <xdr:sp macro="" textlink="">
      <xdr:nvSpPr>
        <xdr:cNvPr id="15" name="Rectangle: Rounded Corners 14">
          <a:extLst>
            <a:ext uri="{FF2B5EF4-FFF2-40B4-BE49-F238E27FC236}">
              <a16:creationId xmlns:a16="http://schemas.microsoft.com/office/drawing/2014/main" id="{D00D899B-02C1-E954-E123-FA203FE853B0}"/>
            </a:ext>
          </a:extLst>
        </xdr:cNvPr>
        <xdr:cNvSpPr/>
      </xdr:nvSpPr>
      <xdr:spPr>
        <a:xfrm>
          <a:off x="13411201" y="4334934"/>
          <a:ext cx="2015066" cy="119380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i="1">
              <a:solidFill>
                <a:schemeClr val="tx1"/>
              </a:solidFill>
            </a:rPr>
            <a:t>Monthly species count increase</a:t>
          </a:r>
        </a:p>
        <a:p>
          <a:pPr algn="ctr"/>
          <a:r>
            <a:rPr lang="en-GB" sz="2000" b="1" i="1">
              <a:solidFill>
                <a:schemeClr val="tx1"/>
              </a:solidFill>
            </a:rPr>
            <a:t>198</a:t>
          </a:r>
        </a:p>
      </xdr:txBody>
    </xdr:sp>
    <xdr:clientData/>
  </xdr:twoCellAnchor>
  <xdr:twoCellAnchor>
    <xdr:from>
      <xdr:col>0</xdr:col>
      <xdr:colOff>83819</xdr:colOff>
      <xdr:row>8</xdr:row>
      <xdr:rowOff>0</xdr:rowOff>
    </xdr:from>
    <xdr:to>
      <xdr:col>2</xdr:col>
      <xdr:colOff>364067</xdr:colOff>
      <xdr:row>11</xdr:row>
      <xdr:rowOff>169333</xdr:rowOff>
    </xdr:to>
    <xdr:sp macro="" textlink="">
      <xdr:nvSpPr>
        <xdr:cNvPr id="4" name="Rectangle: Top Corners Snipped 3">
          <a:extLst>
            <a:ext uri="{FF2B5EF4-FFF2-40B4-BE49-F238E27FC236}">
              <a16:creationId xmlns:a16="http://schemas.microsoft.com/office/drawing/2014/main" id="{063D92AF-FBE5-4DD6-A427-374E06469ED0}"/>
            </a:ext>
          </a:extLst>
        </xdr:cNvPr>
        <xdr:cNvSpPr/>
      </xdr:nvSpPr>
      <xdr:spPr>
        <a:xfrm>
          <a:off x="83819" y="1574800"/>
          <a:ext cx="1499448" cy="728133"/>
        </a:xfrm>
        <a:prstGeom prst="snip2Same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a:solidFill>
                <a:schemeClr val="tx1"/>
              </a:solidFill>
            </a:rPr>
            <a:t>Plantae count</a:t>
          </a:r>
        </a:p>
        <a:p>
          <a:pPr algn="ctr"/>
          <a:r>
            <a:rPr lang="en-GB" sz="1600" b="1">
              <a:solidFill>
                <a:schemeClr val="tx1"/>
              </a:solidFill>
            </a:rPr>
            <a:t>1075</a:t>
          </a:r>
          <a:endParaRPr lang="en-GB" sz="14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ine Corley" refreshedDate="46141.830917245374" createdVersion="8" refreshedVersion="8" minRefreshableVersion="3" recordCount="294" xr:uid="{D0EFB3D7-33FA-4786-84D9-5E5AEA1D0725}">
  <cacheSource type="worksheet">
    <worksheetSource ref="A1:W295" sheet="Wildlife Data"/>
  </cacheSource>
  <cacheFields count="23">
    <cacheField name="Occurrence ID" numFmtId="0">
      <sharedItems containsSemiMixedTypes="0" containsString="0" containsNumber="1" containsInteger="1" minValue="48433119" maxValue="50356991"/>
    </cacheField>
    <cacheField name="Event Date" numFmtId="14">
      <sharedItems containsSemiMixedTypes="0" containsNonDate="0" containsDate="1" containsString="0" minDate="2026-01-02T00:00:00" maxDate="2026-02-25T00:00:0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2" count="2">
        <n v="2"/>
        <n v="1"/>
      </sharedItems>
    </cacheField>
    <cacheField name="Year" numFmtId="0">
      <sharedItems containsSemiMixedTypes="0" containsString="0" containsNumber="1" containsInteger="1" minValue="2026" maxValue="2026"/>
    </cacheField>
    <cacheField name="Dataset ID" numFmtId="0">
      <sharedItems/>
    </cacheField>
    <cacheField name="Data provider" numFmtId="0">
      <sharedItems/>
    </cacheField>
    <cacheField name="Data provider ID" numFmtId="0">
      <sharedItems/>
    </cacheField>
    <cacheField name="Scientific name" numFmtId="0">
      <sharedItems/>
    </cacheField>
    <cacheField name="Common name" numFmtId="0">
      <sharedItems/>
    </cacheField>
    <cacheField name="Taxon Rank" numFmtId="0">
      <sharedItems/>
    </cacheField>
    <cacheField name="Kingdom" numFmtId="0">
      <sharedItems count="2">
        <s v="Plantae"/>
        <s v="Animalia"/>
      </sharedItems>
    </cacheField>
    <cacheField name="Phylum" numFmtId="0">
      <sharedItems/>
    </cacheField>
    <cacheField name="Class" numFmtId="0">
      <sharedItems/>
    </cacheField>
    <cacheField name="Order" numFmtId="0">
      <sharedItems/>
    </cacheField>
    <cacheField name="Family" numFmtId="0">
      <sharedItems/>
    </cacheField>
    <cacheField name="Genus" numFmtId="0">
      <sharedItems/>
    </cacheField>
    <cacheField name="Grid reference" numFmtId="0">
      <sharedItems/>
    </cacheField>
    <cacheField name="OSGR 100km" numFmtId="0">
      <sharedItems/>
    </cacheField>
    <cacheField name="OSGR 10km" numFmtId="0">
      <sharedItems/>
    </cacheField>
    <cacheField name="OSGR 2km" numFmtId="0">
      <sharedItems/>
    </cacheField>
    <cacheField name="OSGR 1km" numFmtId="0">
      <sharedItems containsBlank="1"/>
    </cacheField>
    <cacheField name="Count" numFmtId="0">
      <sharedItems containsSemiMixedTypes="0" containsString="0" containsNumber="1" containsInteger="1" minValue="0" maxValue="9"/>
    </cacheField>
  </cacheFields>
  <extLst>
    <ext xmlns:x14="http://schemas.microsoft.com/office/spreadsheetml/2009/9/main" uri="{725AE2AE-9491-48be-B2B4-4EB974FC3084}">
      <x14:pivotCacheDefinition pivotCacheId="1305089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ine Corley" refreshedDate="46141.832749537039" createdVersion="8" refreshedVersion="8" minRefreshableVersion="3" recordCount="294" xr:uid="{E583CAF1-4D63-4A28-B3A9-45B8AF9A0AA2}">
  <cacheSource type="worksheet">
    <worksheetSource name="wildlife"/>
  </cacheSource>
  <cacheFields count="25">
    <cacheField name="Occurrence ID" numFmtId="0">
      <sharedItems containsSemiMixedTypes="0" containsString="0" containsNumber="1" containsInteger="1" minValue="48433119" maxValue="50356991"/>
    </cacheField>
    <cacheField name="Event Date" numFmtId="14">
      <sharedItems containsSemiMixedTypes="0" containsNonDate="0" containsDate="1" containsString="0" minDate="2026-01-02T00:00:00" maxDate="2026-02-25T00:00:00" count="39">
        <d v="2026-02-04T00:00:00"/>
        <d v="2026-01-22T00:00:00"/>
        <d v="2026-01-31T00:00:00"/>
        <d v="2026-02-01T00:00:00"/>
        <d v="2026-02-03T00:00:00"/>
        <d v="2026-01-26T00:00:00"/>
        <d v="2026-02-02T00:00:00"/>
        <d v="2026-02-11T00:00:00"/>
        <d v="2026-01-15T00:00:00"/>
        <d v="2026-02-09T00:00:00"/>
        <d v="2026-01-28T00:00:00"/>
        <d v="2026-01-30T00:00:00"/>
        <d v="2026-02-12T00:00:00"/>
        <d v="2026-02-14T00:00:00"/>
        <d v="2026-01-19T00:00:00"/>
        <d v="2026-02-15T00:00:00"/>
        <d v="2026-01-23T00:00:00"/>
        <d v="2026-02-20T00:00:00"/>
        <d v="2026-01-14T00:00:00"/>
        <d v="2026-02-06T00:00:00"/>
        <d v="2026-01-10T00:00:00"/>
        <d v="2026-01-16T00:00:00"/>
        <d v="2026-01-09T00:00:00"/>
        <d v="2026-02-13T00:00:00"/>
        <d v="2026-02-10T00:00:00"/>
        <d v="2026-02-08T00:00:00"/>
        <d v="2026-01-17T00:00:00"/>
        <d v="2026-01-20T00:00:00"/>
        <d v="2026-01-29T00:00:00"/>
        <d v="2026-01-02T00:00:00"/>
        <d v="2026-02-24T00:00:00"/>
        <d v="2026-01-13T00:00:00"/>
        <d v="2026-02-07T00:00:00"/>
        <d v="2026-02-22T00:00:00"/>
        <d v="2026-01-24T00:00:00"/>
        <d v="2026-01-08T00:00:00"/>
        <d v="2026-01-21T00:00:00"/>
        <d v="2026-01-25T00:00:00"/>
        <d v="2026-02-18T00:00:00"/>
      </sharedItems>
      <fieldGroup par="24"/>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2" count="2">
        <n v="2"/>
        <n v="1"/>
      </sharedItems>
    </cacheField>
    <cacheField name="Year" numFmtId="0">
      <sharedItems containsSemiMixedTypes="0" containsString="0" containsNumber="1" containsInteger="1" minValue="2026" maxValue="2026"/>
    </cacheField>
    <cacheField name="Dataset ID" numFmtId="0">
      <sharedItems/>
    </cacheField>
    <cacheField name="Data provider" numFmtId="0">
      <sharedItems count="5">
        <s v="British Bryological Society"/>
        <s v="Biological Records Centre"/>
        <s v="Mammal Society"/>
        <s v="Terrestrial Heteroptera Recording Scheme (Shieldbugs &amp; allied species)"/>
        <s v="Terrestrial Heteroptera Recording Scheme (Plantbugs and allied species)"/>
      </sharedItems>
    </cacheField>
    <cacheField name="Data provider ID" numFmtId="0">
      <sharedItems count="5">
        <s v="dp74"/>
        <s v="dp77"/>
        <s v="dp8"/>
        <s v="dp108"/>
        <s v="dp292"/>
      </sharedItems>
    </cacheField>
    <cacheField name="Scientific name" numFmtId="0">
      <sharedItems count="83">
        <s v="Rhytidiadelphus squarrosus"/>
        <s v="Atrichum undulatum"/>
        <s v="Adalia bipunctata"/>
        <s v="Cratoneuron filicinum"/>
        <s v="Amblystegium serpens"/>
        <s v="Micromys minutus"/>
        <s v="Hypnum jutlandicum"/>
        <s v="Halyzia sedecimguttata"/>
        <s v="Calliergonella cuspidata"/>
        <s v="Pleurozium schreberi"/>
        <s v="Brachythecium rutabulum"/>
        <s v="Rhizomnium punctatum"/>
        <s v="Dicranum scoparium"/>
        <s v="Hylocomium splendens"/>
        <s v="Kindbergia praelonga"/>
        <s v="Grimmia pulvinata"/>
        <s v="Schistidium crassipilum"/>
        <s v="Sphagnum fimbriatum"/>
        <s v="Coccinella septempunctata"/>
        <s v="Harmonia axyridis"/>
        <s v="Homalothecium sericeum"/>
        <s v="Bryum argenteum"/>
        <s v="Sphagnum cuspidatum"/>
        <s v="Thamnobryum alopecurum"/>
        <s v="Campylopus introflexus"/>
        <s v="Pseudoscleropodium purum"/>
        <s v="Plagiothecium undulatum"/>
        <s v="Pellia epiphylla"/>
        <s v="Thuidium tamariscinum"/>
        <s v="Leptoglossus occidentalis"/>
        <s v="Plagiomnium undulatum"/>
        <s v="Diplophyllum albicans"/>
        <s v="Ceratodon purpureus"/>
        <s v="Bryum capillare"/>
        <s v="Radula complanata"/>
        <s v="Sphagnum subnitens"/>
        <s v="Didymodon insulanus"/>
        <s v="Palomena prasina"/>
        <s v="Sphagnum palustre"/>
        <s v="Sphagnum fallax"/>
        <s v="Tortula muralis"/>
        <s v="Polytrichum commune s.l."/>
        <s v="Encalypta streptocarpa"/>
        <s v="Hypnum cupressiforme"/>
        <s v="Polytrichum formosum"/>
        <s v="Aulacomnium palustre"/>
        <s v="Polytrichum piliferum"/>
        <s v="Orthotrichum anomalum"/>
        <s v="Lophocolea semiteres"/>
        <s v="Tortula cernua"/>
        <s v="Bryum intermedium"/>
        <s v="Scapania undulata"/>
        <s v="Polytrichum juniperinum"/>
        <s v="Hylocomiadelphus triquetrus"/>
        <s v="Rhynchostegium confertum"/>
        <s v="Capreolus capreolus"/>
        <s v="Gastrodes grossipes"/>
        <s v="Mnium hornum"/>
        <s v="Marchantia polymorpha"/>
        <s v="Acanthosoma haemorrhoidale"/>
        <s v="Pylaisia polyantha"/>
        <s v="Lunularia cruciata"/>
        <s v="Metzgeria furcata"/>
        <s v="Racomitrium aciculare"/>
        <s v="Brachythecium albicans"/>
        <s v="Syntrichia ruralis"/>
        <s v="Funaria hygrometrica"/>
        <s v="Ctenidium molluscum"/>
        <s v="Cryphaea heteromalla"/>
        <s v="Riccardia palmata"/>
        <s v="Sphagnum papillosum"/>
        <s v="Polytrichum strictum"/>
        <s v="Adalia decempunctata"/>
        <s v="Racomitrium fasciculare"/>
        <s v="Syntrichia montana"/>
        <s v="Tytthaspis sedecimpunctata"/>
        <s v="Dicranoweisia cirrata"/>
        <s v="Fissidens taxifolius"/>
        <s v="Rhytidiadelphus loreus"/>
        <s v="Calvia quattuordecimguttata"/>
        <s v="Frullania dilatata"/>
        <s v="Oxyrrhynchium hians"/>
        <s v="Dicranella heteromalla"/>
      </sharedItems>
    </cacheField>
    <cacheField name="Common name" numFmtId="0">
      <sharedItems/>
    </cacheField>
    <cacheField name="Taxon Rank" numFmtId="0">
      <sharedItems count="2">
        <s v="species"/>
        <s v="species aggregate"/>
      </sharedItems>
    </cacheField>
    <cacheField name="Kingdom" numFmtId="0">
      <sharedItems count="2">
        <s v="Plantae"/>
        <s v="Animalia"/>
      </sharedItems>
    </cacheField>
    <cacheField name="Phylum" numFmtId="0">
      <sharedItems count="4">
        <s v="Bryophyta"/>
        <s v="Arthropoda"/>
        <s v="Chordata"/>
        <s v="Marchantiophyta"/>
      </sharedItems>
    </cacheField>
    <cacheField name="Class" numFmtId="0">
      <sharedItems count="7">
        <s v="Bryopsida"/>
        <s v="Polytrichopsida"/>
        <s v="Insecta"/>
        <s v="Mammalia"/>
        <s v="Sphagnopsida"/>
        <s v="Jungermanniopsida"/>
        <s v="Marchantiopsida"/>
      </sharedItems>
    </cacheField>
    <cacheField name="Order" numFmtId="0">
      <sharedItems count="20">
        <s v="Hypnales"/>
        <s v="Polytrichales"/>
        <s v="Coleoptera"/>
        <s v="Rodentia"/>
        <s v="Bryales"/>
        <s v="Dicranales"/>
        <s v="Grimmiales"/>
        <s v="Sphagnales"/>
        <s v="Pelliales"/>
        <s v="Hemiptera"/>
        <s v="Jungermanniales"/>
        <s v="Porellales"/>
        <s v="Encalyptales"/>
        <s v="Aulacomniales"/>
        <s v="Orthotrichales"/>
        <s v="Artiodactyla"/>
        <s v="Marchantiales"/>
        <s v="Lunulariales"/>
        <s v="Metzgeriales"/>
        <s v="Funariales"/>
      </sharedItems>
    </cacheField>
    <cacheField name="Family" numFmtId="0">
      <sharedItems count="42">
        <s v="Hylocomiaceae"/>
        <s v="Polytrichaceae"/>
        <s v="Coccinellidae"/>
        <s v="Amblystegiaceae"/>
        <s v="Cricetidae"/>
        <s v="Hypnaceae"/>
        <s v="Pylaisiaceae"/>
        <s v="Brachytheciaceae"/>
        <s v="Mniaceae"/>
        <s v="Dicranaceae"/>
        <s v="Grimmiaceae"/>
        <s v="Sphagnaceae"/>
        <s v="Bryaceae"/>
        <s v="Neckeraceae"/>
        <s v="Leucobryaceae"/>
        <s v="Plagiotheciaceae"/>
        <s v="Pelliaceae"/>
        <s v="Thuidiaceae"/>
        <s v="Coreidae"/>
        <s v="Scapaniaceae"/>
        <s v="Ditrichaceae"/>
        <s v="Radulaceae"/>
        <s v="Pottiaceae"/>
        <s v="Pentatomidae"/>
        <s v="Encalyptaceae"/>
        <s v="Aulacomniaceae"/>
        <s v="Orthotrichaceae"/>
        <s v="Lophocoleaceae"/>
        <s v="Cervidae"/>
        <s v="Lygaeidae"/>
        <s v="Marchantiaceae"/>
        <s v="Acanthosomatidae"/>
        <s v="Lunulariaceae"/>
        <s v="Metzgeriaceae"/>
        <s v="Funariaceae"/>
        <s v="Myuriaceae"/>
        <s v="Cryphaeaceae"/>
        <s v="Aneuraceae"/>
        <s v="Rhabdoweisiaceae"/>
        <s v="Fissidentaceae"/>
        <s v="Frullaniaceae"/>
        <s v="Dicranellaceae"/>
      </sharedItems>
    </cacheField>
    <cacheField name="Genus" numFmtId="0">
      <sharedItems count="65">
        <s v="Rhytidiadelphus"/>
        <s v="Atrichum"/>
        <s v="Adalia"/>
        <s v="Cratoneuron"/>
        <s v="Amblystegium"/>
        <s v="Micromys"/>
        <s v="Hypnum"/>
        <s v="Halyzia"/>
        <s v="Calliergonella"/>
        <s v="Pleurozium"/>
        <s v="Brachythecium"/>
        <s v="Rhizomnium"/>
        <s v="Dicranum"/>
        <s v="Hylocomium"/>
        <s v="Kindbergia"/>
        <s v="Grimmia"/>
        <s v="Schistidium"/>
        <s v="Sphagnum"/>
        <s v="Coccinella"/>
        <s v="Harmonia"/>
        <s v="Homalothecium"/>
        <s v="Bryum"/>
        <s v="Thamnobryum"/>
        <s v="Campylopus"/>
        <s v="Pseudoscleropodium"/>
        <s v="Plagiothecium"/>
        <s v="Pellia"/>
        <s v="Thuidium"/>
        <s v="Leptoglossus"/>
        <s v="Plagiomnium"/>
        <s v="Diplophyllum"/>
        <s v="Ceratodon"/>
        <s v="Radula"/>
        <s v="Didymodon"/>
        <s v="Palomena"/>
        <s v="Tortula"/>
        <s v="Polytrichum"/>
        <s v="Encalypta"/>
        <s v="Aulacomnium"/>
        <s v="Orthotrichum"/>
        <s v="Lophocolea"/>
        <s v="Scapania"/>
        <s v="Hylocomiadelphus"/>
        <s v="Rhynchostegium"/>
        <s v="Capreolus"/>
        <s v="Gastrodes"/>
        <s v="Mnium"/>
        <s v="Marchantia"/>
        <s v="Acanthosoma"/>
        <s v="Pylaisia"/>
        <s v="Lunularia"/>
        <s v="Metzgeria"/>
        <s v="Racomitrium"/>
        <s v="Syntrichia"/>
        <s v="Funaria"/>
        <s v="Ctenidium"/>
        <s v="Cryphaea"/>
        <s v="Riccardia"/>
        <s v="Tytthaspis"/>
        <s v="Dicranoweisia"/>
        <s v="Fissidens"/>
        <s v="Calvia"/>
        <s v="Frullania"/>
        <s v="Oxyrrhynchium"/>
        <s v="Dicranella"/>
      </sharedItems>
    </cacheField>
    <cacheField name="Grid reference" numFmtId="0">
      <sharedItems/>
    </cacheField>
    <cacheField name="OSGR 100km" numFmtId="0">
      <sharedItems count="3">
        <s v="SD"/>
        <s v="SE"/>
        <s v="SK"/>
      </sharedItems>
    </cacheField>
    <cacheField name="OSGR 10km" numFmtId="0">
      <sharedItems count="22">
        <s v="SD92"/>
        <s v="SE12"/>
        <s v="SK49"/>
        <s v="SK28"/>
        <s v="SE13"/>
        <s v="SE72"/>
        <s v="SE22"/>
        <s v="SE02"/>
        <s v="SE01"/>
        <s v="SK29"/>
        <s v="SK38"/>
        <s v="SD91"/>
        <s v="SE50"/>
        <s v="SE42"/>
        <s v="SD94"/>
        <s v="SD93"/>
        <s v="SE03"/>
        <s v="SD95"/>
        <s v="SE41"/>
        <s v="SE00"/>
        <s v="SE61"/>
        <s v="SD90"/>
      </sharedItems>
    </cacheField>
    <cacheField name="OSGR 2km" numFmtId="0">
      <sharedItems count="68">
        <s v="SD92T"/>
        <s v="SE12M"/>
        <s v="SK49P"/>
        <s v="SK28Z"/>
        <s v="SE13C"/>
        <s v="SE72H"/>
        <s v="SE22E"/>
        <s v="SE02T"/>
        <s v="SE01T"/>
        <s v="SE22L"/>
        <s v="SE12D"/>
        <s v="SE02A"/>
        <s v="SK29V"/>
        <s v="SK38T"/>
        <s v="SD91Y"/>
        <s v="SE12F"/>
        <s v="SE02L"/>
        <s v="SE12I"/>
        <s v="SE01E"/>
        <s v="SK38N"/>
        <s v="SK38F"/>
        <s v="SE12A"/>
        <s v="SE50S"/>
        <s v="SE01D"/>
        <s v="SE42R"/>
        <s v="SD92E"/>
        <s v="SE02V"/>
        <s v="SE01U"/>
        <s v="SE12C"/>
        <s v="SD94P"/>
        <s v="SK38M"/>
        <s v="SE02Q"/>
        <s v="SE12J"/>
        <s v="SD93V"/>
        <s v="SE12U"/>
        <s v="SE13F"/>
        <s v="SE02G"/>
        <s v="SE12R"/>
        <s v="SE03W"/>
        <s v="SE02B"/>
        <s v="SK38G"/>
        <s v="SE50F"/>
        <s v="SK38P"/>
        <s v="SD95G"/>
        <s v="SK49R"/>
        <s v="SK38U"/>
        <s v="SE02M"/>
        <s v="SE41N"/>
        <s v="SE02X"/>
        <s v="SK38I"/>
        <s v="SD92Z"/>
        <s v="SE00C"/>
        <s v="SK38H"/>
        <s v="SE03I"/>
        <s v="SE12N"/>
        <s v="SE61Q"/>
        <s v="SD91U"/>
        <s v="SE02W"/>
        <s v="SD90R"/>
        <s v="SK38C"/>
        <s v="SE61N"/>
        <s v="SE02R"/>
        <s v="SE02C"/>
        <s v="SD93G"/>
        <s v="SE22S"/>
        <s v="SK49Y"/>
        <s v="SD90X"/>
        <s v="SE02S"/>
      </sharedItems>
    </cacheField>
    <cacheField name="OSGR 1km" numFmtId="0">
      <sharedItems containsBlank="1" count="85">
        <s v="SD9626"/>
        <s v="SE1425"/>
        <s v="SK4599"/>
        <s v="SK2989"/>
        <s v="SE1134"/>
        <s v="SE7325"/>
        <s v="SE2029"/>
        <s v="SE0626"/>
        <s v="SE0717"/>
        <s v="SE2422"/>
        <s v="SE1026"/>
        <s v="SE0120"/>
        <s v="SK2990"/>
        <s v="SK3786"/>
        <s v="SK2890"/>
        <s v="SD9917"/>
        <s v="SE1320"/>
        <s v="SE2423"/>
        <s v="SE0523"/>
        <s v="SE1326"/>
        <s v="SE0118"/>
        <s v="SK3487"/>
        <s v="SK3281"/>
        <s v="SE1120"/>
        <s v="SE5604"/>
        <s v="SE0018"/>
        <s v="SK3587"/>
        <s v="SE0117"/>
        <s v="SE4622"/>
        <s v="SD9128"/>
        <s v="SE0820"/>
        <s v="SE0719"/>
        <s v="SE1025"/>
        <s v="SD9549"/>
        <s v="SK3485"/>
        <s v="SE0721"/>
        <s v="SK3585"/>
        <s v="SE0616"/>
        <s v="SE1229"/>
        <s v="SE2523"/>
        <s v="SD9830"/>
        <s v="SE1629"/>
        <s v="SE1230"/>
        <s v="SE0223"/>
        <s v="SE0017"/>
        <s v="SE1622"/>
        <s v="SE0933"/>
        <s v="SE0123"/>
        <s v="SK3282"/>
        <s v="SE5301"/>
        <s v="SK3588"/>
        <s v="SD9252"/>
        <s v="SK4793"/>
        <s v="SK3688"/>
        <s v="SE0525"/>
        <s v="SE4416"/>
        <s v="SE0825"/>
        <s v="SK3387"/>
        <s v="SE0824"/>
        <s v="SD9828"/>
        <s v="SE0004"/>
        <s v="SK3687"/>
        <s v="SK3285"/>
        <s v="SE0337"/>
        <s v="SE1427"/>
        <s v="SE6611"/>
        <s v="SD9619"/>
        <s v="SE0823"/>
        <s v="SK3686"/>
        <s v="SD9719"/>
        <m/>
        <s v="SE0119"/>
        <s v="SD9703"/>
        <s v="SK3185"/>
        <s v="SE0716"/>
        <s v="SE0720"/>
        <s v="SE6417"/>
        <s v="SE0723"/>
        <s v="SE0124"/>
        <s v="SD9333"/>
        <s v="SE2724"/>
        <s v="SK4896"/>
        <s v="SD9904"/>
        <s v="SK3584"/>
        <s v="SE0724"/>
      </sharedItems>
    </cacheField>
    <cacheField name="Count" numFmtId="0">
      <sharedItems containsSemiMixedTypes="0" containsString="0" containsNumber="1" containsInteger="1" minValue="0" maxValue="9"/>
    </cacheField>
    <cacheField name="Days (Event Date)" numFmtId="0" databaseField="0">
      <fieldGroup base="1">
        <rangePr groupBy="days" startDate="2026-01-02T00:00:00" endDate="2026-02-25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5/02/2026"/>
        </groupItems>
      </fieldGroup>
    </cacheField>
    <cacheField name="Months (Event Date)" numFmtId="0" databaseField="0">
      <fieldGroup base="1">
        <rangePr groupBy="months" startDate="2026-01-02T00:00:00" endDate="2026-02-25T00:00:00"/>
        <groupItems count="14">
          <s v="&lt;02/01/2026"/>
          <s v="Jan"/>
          <s v="Feb"/>
          <s v="Mar"/>
          <s v="Apr"/>
          <s v="May"/>
          <s v="Jun"/>
          <s v="Jul"/>
          <s v="Aug"/>
          <s v="Sep"/>
          <s v="Oct"/>
          <s v="Nov"/>
          <s v="Dec"/>
          <s v="&gt;25/02/2026"/>
        </groupItems>
      </fieldGroup>
    </cacheField>
  </cacheFields>
  <extLst>
    <ext xmlns:x14="http://schemas.microsoft.com/office/spreadsheetml/2009/9/main" uri="{725AE2AE-9491-48be-B2B4-4EB974FC3084}">
      <x14:pivotCacheDefinition pivotCacheId="423011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
  <r>
    <n v="49512910"/>
    <d v="2026-02-04T00:00:00"/>
    <n v="4"/>
    <x v="0"/>
    <n v="2026"/>
    <s v="dr2141"/>
    <s v="British Bryological Society"/>
    <s v="dp74"/>
    <s v="Rhytidiadelphus squarrosus"/>
    <s v="Springy Turf-moss"/>
    <s v="species"/>
    <x v="0"/>
    <s v="Bryophyta"/>
    <s v="Bryopsida"/>
    <s v="Hypnales"/>
    <s v="Hylocomiaceae"/>
    <s v="Rhytidiadelphus"/>
    <s v="SD96652663"/>
    <s v="SD"/>
    <s v="SD92"/>
    <s v="SD92T"/>
    <s v="SD9626"/>
    <n v="2"/>
  </r>
  <r>
    <n v="48742392"/>
    <d v="2026-01-22T00:00:00"/>
    <n v="22"/>
    <x v="1"/>
    <n v="2026"/>
    <s v="dr2141"/>
    <s v="British Bryological Society"/>
    <s v="dp74"/>
    <s v="Atrichum undulatum"/>
    <s v="Common Smoothcap"/>
    <s v="species"/>
    <x v="0"/>
    <s v="Bryophyta"/>
    <s v="Polytrichopsida"/>
    <s v="Polytrichales"/>
    <s v="Polytrichaceae"/>
    <s v="Atrichum"/>
    <s v="SE147252"/>
    <s v="SE"/>
    <s v="SE12"/>
    <s v="SE12M"/>
    <s v="SE1425"/>
    <n v="4"/>
  </r>
  <r>
    <n v="49622603"/>
    <d v="2026-01-31T00:00:00"/>
    <n v="31"/>
    <x v="1"/>
    <n v="2026"/>
    <s v="dr736"/>
    <s v="Biological Records Centre"/>
    <s v="dp77"/>
    <s v="Adalia bipunctata"/>
    <s v="2-spot Ladybird"/>
    <s v="species"/>
    <x v="1"/>
    <s v="Arthropoda"/>
    <s v="Insecta"/>
    <s v="Coleoptera"/>
    <s v="Coccinellidae"/>
    <s v="Adalia"/>
    <s v="SK452993"/>
    <s v="SK"/>
    <s v="SK49"/>
    <s v="SK49P"/>
    <s v="SK4599"/>
    <n v="5"/>
  </r>
  <r>
    <n v="49304161"/>
    <d v="2026-02-01T00:00:00"/>
    <n v="1"/>
    <x v="0"/>
    <n v="2026"/>
    <s v="dr2141"/>
    <s v="British Bryological Society"/>
    <s v="dp74"/>
    <s v="Cratoneuron filicinum"/>
    <s v="Fern-leaved Hook-moss"/>
    <s v="species"/>
    <x v="0"/>
    <s v="Bryophyta"/>
    <s v="Bryopsida"/>
    <s v="Hypnales"/>
    <s v="Amblystegiaceae"/>
    <s v="Cratoneuron"/>
    <s v="SK295898"/>
    <s v="SK"/>
    <s v="SK28"/>
    <s v="SK28Z"/>
    <s v="SK2989"/>
    <n v="6"/>
  </r>
  <r>
    <n v="49724511"/>
    <d v="2026-02-03T00:00:00"/>
    <n v="3"/>
    <x v="0"/>
    <n v="2026"/>
    <s v="dr2141"/>
    <s v="British Bryological Society"/>
    <s v="dp74"/>
    <s v="Amblystegium serpens"/>
    <s v="Creeping Feather-moss"/>
    <s v="species"/>
    <x v="0"/>
    <s v="Bryophyta"/>
    <s v="Bryopsida"/>
    <s v="Hypnales"/>
    <s v="Amblystegiaceae"/>
    <s v="Amblystegium"/>
    <s v="SE117347"/>
    <s v="SE"/>
    <s v="SE13"/>
    <s v="SE13C"/>
    <s v="SE1134"/>
    <n v="2"/>
  </r>
  <r>
    <n v="48902693"/>
    <d v="2026-01-26T00:00:00"/>
    <n v="26"/>
    <x v="1"/>
    <n v="2026"/>
    <s v="dr2451"/>
    <s v="Mammal Society"/>
    <s v="dp8"/>
    <s v="Micromys minutus"/>
    <s v="Harvest Mouse"/>
    <s v="species"/>
    <x v="1"/>
    <s v="Chordata"/>
    <s v="Mammalia"/>
    <s v="Rodentia"/>
    <s v="Cricetidae"/>
    <s v="Micromys"/>
    <s v="SE731258"/>
    <s v="SE"/>
    <s v="SE72"/>
    <s v="SE72H"/>
    <s v="SE7325"/>
    <n v="8"/>
  </r>
  <r>
    <n v="49395895"/>
    <d v="2026-02-02T00:00:00"/>
    <n v="2"/>
    <x v="0"/>
    <n v="2026"/>
    <s v="dr2141"/>
    <s v="British Bryological Society"/>
    <s v="dp74"/>
    <s v="Hypnum jutlandicum"/>
    <s v="Heath Plait-moss"/>
    <s v="species"/>
    <x v="0"/>
    <s v="Bryophyta"/>
    <s v="Bryopsida"/>
    <s v="Hypnales"/>
    <s v="Hypnaceae"/>
    <s v="Hypnum"/>
    <s v="SE20322932"/>
    <s v="SE"/>
    <s v="SE22"/>
    <s v="SE22E"/>
    <s v="SE2029"/>
    <n v="6"/>
  </r>
  <r>
    <n v="49622601"/>
    <d v="2026-01-31T00:00:00"/>
    <n v="31"/>
    <x v="1"/>
    <n v="2026"/>
    <s v="dr736"/>
    <s v="Biological Records Centre"/>
    <s v="dp77"/>
    <s v="Halyzia sedecimguttata"/>
    <s v="Orange Ladybird"/>
    <s v="species"/>
    <x v="1"/>
    <s v="Arthropoda"/>
    <s v="Insecta"/>
    <s v="Coleoptera"/>
    <s v="Coccinellidae"/>
    <s v="Halyzia"/>
    <s v="SK45229941"/>
    <s v="SK"/>
    <s v="SK49"/>
    <s v="SK49P"/>
    <s v="SK4599"/>
    <n v="1"/>
  </r>
  <r>
    <n v="49888486"/>
    <d v="2026-02-11T00:00:00"/>
    <n v="11"/>
    <x v="0"/>
    <n v="2026"/>
    <s v="dr2141"/>
    <s v="British Bryological Society"/>
    <s v="dp74"/>
    <s v="Calliergonella cuspidata"/>
    <s v="Pointed Spear-moss"/>
    <s v="species"/>
    <x v="0"/>
    <s v="Bryophyta"/>
    <s v="Bryopsida"/>
    <s v="Hypnales"/>
    <s v="Pylaisiaceae"/>
    <s v="Calliergonella"/>
    <s v="SE06612694"/>
    <s v="SE"/>
    <s v="SE02"/>
    <s v="SE02T"/>
    <s v="SE0626"/>
    <n v="0"/>
  </r>
  <r>
    <n v="48665831"/>
    <d v="2026-01-15T00:00:00"/>
    <n v="15"/>
    <x v="1"/>
    <n v="2026"/>
    <s v="dr2141"/>
    <s v="British Bryological Society"/>
    <s v="dp74"/>
    <s v="Pleurozium schreberi"/>
    <s v="Red-stemmed Feather-moss"/>
    <s v="species"/>
    <x v="0"/>
    <s v="Bryophyta"/>
    <s v="Bryopsida"/>
    <s v="Hypnales"/>
    <s v="Hylocomiaceae"/>
    <s v="Pleurozium"/>
    <s v="SE07091712"/>
    <s v="SE"/>
    <s v="SE01"/>
    <s v="SE01T"/>
    <s v="SE0717"/>
    <n v="0"/>
  </r>
  <r>
    <n v="49382841"/>
    <d v="2026-02-01T00:00:00"/>
    <n v="1"/>
    <x v="0"/>
    <n v="2026"/>
    <s v="dr2141"/>
    <s v="British Bryological Society"/>
    <s v="dp74"/>
    <s v="Brachythecium rutabulum"/>
    <s v="Rough-stalked Feather-moss"/>
    <s v="species"/>
    <x v="0"/>
    <s v="Bryophyta"/>
    <s v="Bryopsida"/>
    <s v="Hypnales"/>
    <s v="Brachytheciaceae"/>
    <s v="Brachythecium"/>
    <s v="SE24912270"/>
    <s v="SE"/>
    <s v="SE22"/>
    <s v="SE22L"/>
    <s v="SE2422"/>
    <n v="0"/>
  </r>
  <r>
    <n v="49512914"/>
    <d v="2026-02-04T00:00:00"/>
    <n v="4"/>
    <x v="0"/>
    <n v="2026"/>
    <s v="dr2141"/>
    <s v="British Bryological Society"/>
    <s v="dp74"/>
    <s v="Rhizomnium punctatum"/>
    <s v="Dotted Thyme-moss"/>
    <s v="species"/>
    <x v="0"/>
    <s v="Bryophyta"/>
    <s v="Bryopsida"/>
    <s v="Bryales"/>
    <s v="Mniaceae"/>
    <s v="Rhizomnium"/>
    <s v="SD96422673"/>
    <s v="SD"/>
    <s v="SD92"/>
    <s v="SD92T"/>
    <s v="SD9626"/>
    <n v="3"/>
  </r>
  <r>
    <n v="49724557"/>
    <d v="2026-02-09T00:00:00"/>
    <n v="9"/>
    <x v="0"/>
    <n v="2026"/>
    <s v="dr2141"/>
    <s v="British Bryological Society"/>
    <s v="dp74"/>
    <s v="Dicranum scoparium"/>
    <s v="Broom Fork-moss"/>
    <s v="species"/>
    <x v="0"/>
    <s v="Bryophyta"/>
    <s v="Bryopsida"/>
    <s v="Dicranales"/>
    <s v="Dicranaceae"/>
    <s v="Dicranum"/>
    <s v="SE10812659"/>
    <s v="SE"/>
    <s v="SE12"/>
    <s v="SE12D"/>
    <s v="SE1026"/>
    <n v="5"/>
  </r>
  <r>
    <n v="49724499"/>
    <d v="2026-01-28T00:00:00"/>
    <n v="28"/>
    <x v="1"/>
    <n v="2026"/>
    <s v="dr2141"/>
    <s v="British Bryological Society"/>
    <s v="dp74"/>
    <s v="Hylocomium splendens"/>
    <s v="Glittering Wood-moss"/>
    <s v="species"/>
    <x v="0"/>
    <s v="Bryophyta"/>
    <s v="Bryopsida"/>
    <s v="Hypnales"/>
    <s v="Hylocomiaceae"/>
    <s v="Hylocomium"/>
    <s v="SE01122045"/>
    <s v="SE"/>
    <s v="SE02"/>
    <s v="SE02A"/>
    <s v="SE0120"/>
    <n v="6"/>
  </r>
  <r>
    <n v="49303987"/>
    <d v="2026-02-01T00:00:00"/>
    <n v="1"/>
    <x v="0"/>
    <n v="2026"/>
    <s v="dr2141"/>
    <s v="British Bryological Society"/>
    <s v="dp74"/>
    <s v="Kindbergia praelonga"/>
    <s v="Common Feather-moss"/>
    <s v="species"/>
    <x v="0"/>
    <s v="Bryophyta"/>
    <s v="Bryopsida"/>
    <s v="Hypnales"/>
    <s v="Brachytheciaceae"/>
    <s v="Kindbergia"/>
    <s v="SK293900"/>
    <s v="SK"/>
    <s v="SK29"/>
    <s v="SK29V"/>
    <s v="SK2990"/>
    <n v="7"/>
  </r>
  <r>
    <n v="49724521"/>
    <d v="2026-02-04T00:00:00"/>
    <n v="4"/>
    <x v="0"/>
    <n v="2026"/>
    <s v="dr2141"/>
    <s v="British Bryological Society"/>
    <s v="dp74"/>
    <s v="Kindbergia praelonga"/>
    <s v="Common Feather-moss"/>
    <s v="species"/>
    <x v="0"/>
    <s v="Bryophyta"/>
    <s v="Bryopsida"/>
    <s v="Hypnales"/>
    <s v="Brachytheciaceae"/>
    <s v="Kindbergia"/>
    <s v="SD96632644"/>
    <s v="SD"/>
    <s v="SD92"/>
    <s v="SD92T"/>
    <s v="SD9626"/>
    <n v="8"/>
  </r>
  <r>
    <n v="49245976"/>
    <d v="2026-01-30T00:00:00"/>
    <n v="30"/>
    <x v="1"/>
    <n v="2026"/>
    <s v="dr2141"/>
    <s v="British Bryological Society"/>
    <s v="dp74"/>
    <s v="Grimmia pulvinata"/>
    <s v="Grey-cushioned Grimmia"/>
    <s v="species"/>
    <x v="0"/>
    <s v="Bryophyta"/>
    <s v="Bryopsida"/>
    <s v="Grimmiales"/>
    <s v="Grimmiaceae"/>
    <s v="Grimmia"/>
    <s v="SK372860"/>
    <s v="SK"/>
    <s v="SK38"/>
    <s v="SK38T"/>
    <s v="SK3786"/>
    <n v="9"/>
  </r>
  <r>
    <n v="49304151"/>
    <d v="2026-02-01T00:00:00"/>
    <n v="1"/>
    <x v="0"/>
    <n v="2026"/>
    <s v="dr2141"/>
    <s v="British Bryological Society"/>
    <s v="dp74"/>
    <s v="Schistidium crassipilum"/>
    <s v="Thickpoint Grimmia"/>
    <s v="species"/>
    <x v="0"/>
    <s v="Bryophyta"/>
    <s v="Bryopsida"/>
    <s v="Grimmiales"/>
    <s v="Grimmiaceae"/>
    <s v="Schistidium"/>
    <s v="SK28699048"/>
    <s v="SK"/>
    <s v="SK29"/>
    <s v="SK29V"/>
    <s v="SK2890"/>
    <n v="2"/>
  </r>
  <r>
    <n v="49305140"/>
    <d v="2026-01-31T00:00:00"/>
    <n v="31"/>
    <x v="1"/>
    <n v="2026"/>
    <s v="dr2141"/>
    <s v="British Bryological Society"/>
    <s v="dp74"/>
    <s v="Sphagnum fimbriatum"/>
    <s v="Fringed Bog-moss"/>
    <s v="species"/>
    <x v="0"/>
    <s v="Bryophyta"/>
    <s v="Sphagnopsida"/>
    <s v="Sphagnales"/>
    <s v="Sphagnaceae"/>
    <s v="Sphagnum"/>
    <s v="SD99841722"/>
    <s v="SD"/>
    <s v="SD91"/>
    <s v="SD91Y"/>
    <s v="SD9917"/>
    <n v="5"/>
  </r>
  <r>
    <n v="49962486"/>
    <d v="2026-02-12T00:00:00"/>
    <n v="12"/>
    <x v="0"/>
    <n v="2026"/>
    <s v="dr2141"/>
    <s v="British Bryological Society"/>
    <s v="dp74"/>
    <s v="Kindbergia praelonga"/>
    <s v="Common Feather-moss"/>
    <s v="species"/>
    <x v="0"/>
    <s v="Bryophyta"/>
    <s v="Bryopsida"/>
    <s v="Hypnales"/>
    <s v="Brachytheciaceae"/>
    <s v="Kindbergia"/>
    <s v="SE137205"/>
    <s v="SE"/>
    <s v="SE12"/>
    <s v="SE12F"/>
    <s v="SE1320"/>
    <n v="5"/>
  </r>
  <r>
    <n v="49382840"/>
    <d v="2026-02-01T00:00:00"/>
    <n v="1"/>
    <x v="0"/>
    <n v="2026"/>
    <s v="dr2141"/>
    <s v="British Bryological Society"/>
    <s v="dp74"/>
    <s v="Kindbergia praelonga"/>
    <s v="Common Feather-moss"/>
    <s v="species"/>
    <x v="0"/>
    <s v="Bryophyta"/>
    <s v="Bryopsida"/>
    <s v="Hypnales"/>
    <s v="Brachytheciaceae"/>
    <s v="Kindbergia"/>
    <s v="SE24992304"/>
    <s v="SE"/>
    <s v="SE22"/>
    <s v="SE22L"/>
    <s v="SE2423"/>
    <n v="0"/>
  </r>
  <r>
    <n v="50031442"/>
    <d v="2026-02-14T00:00:00"/>
    <n v="14"/>
    <x v="0"/>
    <n v="2026"/>
    <s v="dr736"/>
    <s v="Biological Records Centre"/>
    <s v="dp77"/>
    <s v="Adalia bipunctata"/>
    <s v="2-spot Ladybird"/>
    <s v="species"/>
    <x v="1"/>
    <s v="Arthropoda"/>
    <s v="Insecta"/>
    <s v="Coleoptera"/>
    <s v="Coccinellidae"/>
    <s v="Adalia"/>
    <s v="SE05182364"/>
    <s v="SE"/>
    <s v="SE02"/>
    <s v="SE02L"/>
    <s v="SE0523"/>
    <n v="0"/>
  </r>
  <r>
    <n v="48712588"/>
    <d v="2026-01-19T00:00:00"/>
    <n v="19"/>
    <x v="1"/>
    <n v="2026"/>
    <s v="dr2141"/>
    <s v="British Bryological Society"/>
    <s v="dp74"/>
    <s v="Atrichum undulatum"/>
    <s v="Common Smoothcap"/>
    <s v="species"/>
    <x v="0"/>
    <s v="Bryophyta"/>
    <s v="Polytrichopsida"/>
    <s v="Polytrichales"/>
    <s v="Polytrichaceae"/>
    <s v="Atrichum"/>
    <s v="SE136260"/>
    <s v="SE"/>
    <s v="SE12"/>
    <s v="SE12I"/>
    <s v="SE1326"/>
    <n v="5"/>
  </r>
  <r>
    <n v="49298829"/>
    <d v="2026-01-31T00:00:00"/>
    <n v="31"/>
    <x v="1"/>
    <n v="2026"/>
    <s v="dr2141"/>
    <s v="British Bryological Society"/>
    <s v="dp74"/>
    <s v="Rhytidiadelphus squarrosus"/>
    <s v="Springy Turf-moss"/>
    <s v="species"/>
    <x v="0"/>
    <s v="Bryophyta"/>
    <s v="Bryopsida"/>
    <s v="Hypnales"/>
    <s v="Hylocomiaceae"/>
    <s v="Rhytidiadelphus"/>
    <s v="SE01251842"/>
    <s v="SE"/>
    <s v="SE01"/>
    <s v="SE01E"/>
    <s v="SE0118"/>
    <n v="4"/>
  </r>
  <r>
    <n v="49961941"/>
    <d v="2026-02-12T00:00:00"/>
    <n v="12"/>
    <x v="0"/>
    <n v="2026"/>
    <s v="dr2141"/>
    <s v="British Bryological Society"/>
    <s v="dp74"/>
    <s v="Grimmia pulvinata"/>
    <s v="Grey-cushioned Grimmia"/>
    <s v="species"/>
    <x v="0"/>
    <s v="Bryophyta"/>
    <s v="Bryopsida"/>
    <s v="Grimmiales"/>
    <s v="Grimmiaceae"/>
    <s v="Grimmia"/>
    <s v="SK347873"/>
    <s v="SK"/>
    <s v="SK38"/>
    <s v="SK38N"/>
    <s v="SK3487"/>
    <n v="6"/>
  </r>
  <r>
    <n v="50032310"/>
    <d v="2026-02-15T00:00:00"/>
    <n v="15"/>
    <x v="0"/>
    <n v="2026"/>
    <s v="dr2141"/>
    <s v="British Bryological Society"/>
    <s v="dp74"/>
    <s v="Amblystegium serpens"/>
    <s v="Creeping Feather-moss"/>
    <s v="species"/>
    <x v="0"/>
    <s v="Bryophyta"/>
    <s v="Bryopsida"/>
    <s v="Hypnales"/>
    <s v="Amblystegiaceae"/>
    <s v="Amblystegium"/>
    <s v="SK324816"/>
    <s v="SK"/>
    <s v="SK38"/>
    <s v="SK38F"/>
    <s v="SK3281"/>
    <n v="2"/>
  </r>
  <r>
    <n v="48995014"/>
    <d v="2026-01-23T00:00:00"/>
    <n v="23"/>
    <x v="1"/>
    <n v="2026"/>
    <s v="dr2141"/>
    <s v="British Bryological Society"/>
    <s v="dp74"/>
    <s v="Hypnum jutlandicum"/>
    <s v="Heath Plait-moss"/>
    <s v="species"/>
    <x v="0"/>
    <s v="Bryophyta"/>
    <s v="Bryopsida"/>
    <s v="Hypnales"/>
    <s v="Hypnaceae"/>
    <s v="Hypnum"/>
    <s v="SE11942036"/>
    <s v="SE"/>
    <s v="SE12"/>
    <s v="SE12A"/>
    <s v="SE1120"/>
    <n v="7"/>
  </r>
  <r>
    <n v="49888485"/>
    <d v="2026-02-11T00:00:00"/>
    <n v="11"/>
    <x v="0"/>
    <n v="2026"/>
    <s v="dr2141"/>
    <s v="British Bryological Society"/>
    <s v="dp74"/>
    <s v="Atrichum undulatum"/>
    <s v="Common Smoothcap"/>
    <s v="species"/>
    <x v="0"/>
    <s v="Bryophyta"/>
    <s v="Polytrichopsida"/>
    <s v="Polytrichales"/>
    <s v="Polytrichaceae"/>
    <s v="Atrichum"/>
    <s v="SE06572694"/>
    <s v="SE"/>
    <s v="SE02"/>
    <s v="SE02T"/>
    <s v="SE0626"/>
    <n v="6"/>
  </r>
  <r>
    <n v="49297869"/>
    <d v="2026-01-31T00:00:00"/>
    <n v="31"/>
    <x v="1"/>
    <n v="2026"/>
    <s v="dr736"/>
    <s v="Biological Records Centre"/>
    <s v="dp77"/>
    <s v="Coccinella septempunctata"/>
    <s v="7-spot Ladybird"/>
    <s v="species"/>
    <x v="1"/>
    <s v="Arthropoda"/>
    <s v="Insecta"/>
    <s v="Coleoptera"/>
    <s v="Coccinellidae"/>
    <s v="Coccinella"/>
    <s v="SE562045"/>
    <s v="SE"/>
    <s v="SE50"/>
    <s v="SE50S"/>
    <s v="SE5604"/>
    <n v="2"/>
  </r>
  <r>
    <n v="50031445"/>
    <d v="2026-02-14T00:00:00"/>
    <n v="14"/>
    <x v="0"/>
    <n v="2026"/>
    <s v="dr736"/>
    <s v="Biological Records Centre"/>
    <s v="dp77"/>
    <s v="Harmonia axyridis"/>
    <s v="Harlequin Ladybird"/>
    <s v="species"/>
    <x v="1"/>
    <s v="Arthropoda"/>
    <s v="Insecta"/>
    <s v="Coleoptera"/>
    <s v="Coccinellidae"/>
    <s v="Harmonia"/>
    <s v="SE05142370"/>
    <s v="SE"/>
    <s v="SE02"/>
    <s v="SE02L"/>
    <s v="SE0523"/>
    <n v="1"/>
  </r>
  <r>
    <n v="50032446"/>
    <d v="2026-02-15T00:00:00"/>
    <n v="15"/>
    <x v="0"/>
    <n v="2026"/>
    <s v="dr2141"/>
    <s v="British Bryological Society"/>
    <s v="dp74"/>
    <s v="Homalothecium sericeum"/>
    <s v="Silky Wall Feather-moss"/>
    <s v="species"/>
    <x v="0"/>
    <s v="Bryophyta"/>
    <s v="Bryopsida"/>
    <s v="Hypnales"/>
    <s v="Brachytheciaceae"/>
    <s v="Homalothecium"/>
    <s v="SK324818"/>
    <s v="SK"/>
    <s v="SK38"/>
    <s v="SK38F"/>
    <s v="SK3281"/>
    <n v="0"/>
  </r>
  <r>
    <n v="49671660"/>
    <d v="2026-02-09T00:00:00"/>
    <n v="9"/>
    <x v="0"/>
    <n v="2026"/>
    <s v="dr2141"/>
    <s v="British Bryological Society"/>
    <s v="dp74"/>
    <s v="Brachythecium rutabulum"/>
    <s v="Rough-stalked Feather-moss"/>
    <s v="species"/>
    <x v="0"/>
    <s v="Bryophyta"/>
    <s v="Bryopsida"/>
    <s v="Hypnales"/>
    <s v="Brachytheciaceae"/>
    <s v="Brachythecium"/>
    <s v="SE10752665"/>
    <s v="SE"/>
    <s v="SE12"/>
    <s v="SE12D"/>
    <s v="SE1026"/>
    <n v="0"/>
  </r>
  <r>
    <n v="49298509"/>
    <d v="2026-01-31T00:00:00"/>
    <n v="31"/>
    <x v="1"/>
    <n v="2026"/>
    <s v="dr2141"/>
    <s v="British Bryological Society"/>
    <s v="dp74"/>
    <s v="Hypnum jutlandicum"/>
    <s v="Heath Plait-moss"/>
    <s v="species"/>
    <x v="0"/>
    <s v="Bryophyta"/>
    <s v="Bryopsida"/>
    <s v="Hypnales"/>
    <s v="Hypnaceae"/>
    <s v="Hypnum"/>
    <s v="SE00751820"/>
    <s v="SE"/>
    <s v="SE01"/>
    <s v="SE01E"/>
    <s v="SE0018"/>
    <n v="5"/>
  </r>
  <r>
    <n v="49512699"/>
    <d v="2026-02-04T00:00:00"/>
    <n v="4"/>
    <x v="0"/>
    <n v="2026"/>
    <s v="dr2141"/>
    <s v="British Bryological Society"/>
    <s v="dp74"/>
    <s v="Bryum argenteum"/>
    <s v="Silver-moss"/>
    <s v="species"/>
    <x v="0"/>
    <s v="Bryophyta"/>
    <s v="Bryopsida"/>
    <s v="Bryales"/>
    <s v="Bryaceae"/>
    <s v="Bryum"/>
    <s v="SK356879"/>
    <s v="SK"/>
    <s v="SK38"/>
    <s v="SK38N"/>
    <s v="SK3587"/>
    <n v="0"/>
  </r>
  <r>
    <n v="49301458"/>
    <d v="2026-01-31T00:00:00"/>
    <n v="31"/>
    <x v="1"/>
    <n v="2026"/>
    <s v="dr2141"/>
    <s v="British Bryological Society"/>
    <s v="dp74"/>
    <s v="Sphagnum cuspidatum"/>
    <s v="Feathery Bog-moss"/>
    <s v="species"/>
    <x v="0"/>
    <s v="Bryophyta"/>
    <s v="Sphagnopsida"/>
    <s v="Sphagnales"/>
    <s v="Sphagnaceae"/>
    <s v="Sphagnum"/>
    <s v="SE01961717"/>
    <s v="SE"/>
    <s v="SE01"/>
    <s v="SE01D"/>
    <s v="SE0117"/>
    <n v="9"/>
  </r>
  <r>
    <n v="49622604"/>
    <d v="2026-01-31T00:00:00"/>
    <n v="31"/>
    <x v="1"/>
    <n v="2026"/>
    <s v="dr736"/>
    <s v="Biological Records Centre"/>
    <s v="dp77"/>
    <s v="Harmonia axyridis"/>
    <s v="Harlequin Ladybird"/>
    <s v="species"/>
    <x v="1"/>
    <s v="Arthropoda"/>
    <s v="Insecta"/>
    <s v="Coleoptera"/>
    <s v="Coccinellidae"/>
    <s v="Harmonia"/>
    <s v="SK452993"/>
    <s v="SK"/>
    <s v="SK49"/>
    <s v="SK49P"/>
    <s v="SK4599"/>
    <n v="6"/>
  </r>
  <r>
    <n v="48741153"/>
    <d v="2026-01-22T00:00:00"/>
    <n v="22"/>
    <x v="1"/>
    <n v="2026"/>
    <s v="dr2141"/>
    <s v="British Bryological Society"/>
    <s v="dp74"/>
    <s v="Thamnobryum alopecurum"/>
    <s v="Fox-tail Feather-moss"/>
    <s v="species"/>
    <x v="0"/>
    <s v="Bryophyta"/>
    <s v="Bryopsida"/>
    <s v="Hypnales"/>
    <s v="Neckeraceae"/>
    <s v="Thamnobryum"/>
    <s v="SE1425"/>
    <s v="SE"/>
    <s v="SE12"/>
    <s v="SE12M"/>
    <s v="SE1425"/>
    <n v="5"/>
  </r>
  <r>
    <n v="49962482"/>
    <d v="2026-02-12T00:00:00"/>
    <n v="12"/>
    <x v="0"/>
    <n v="2026"/>
    <s v="dr2141"/>
    <s v="British Bryological Society"/>
    <s v="dp74"/>
    <s v="Hypnum jutlandicum"/>
    <s v="Heath Plait-moss"/>
    <s v="species"/>
    <x v="0"/>
    <s v="Bryophyta"/>
    <s v="Bryopsida"/>
    <s v="Hypnales"/>
    <s v="Hypnaceae"/>
    <s v="Hypnum"/>
    <s v="SE13712070"/>
    <s v="SE"/>
    <s v="SE12"/>
    <s v="SE12F"/>
    <s v="SE1320"/>
    <n v="1"/>
  </r>
  <r>
    <n v="50192006"/>
    <d v="2026-02-20T00:00:00"/>
    <n v="20"/>
    <x v="0"/>
    <n v="2026"/>
    <s v="dr736"/>
    <s v="Biological Records Centre"/>
    <s v="dp77"/>
    <s v="Harmonia axyridis"/>
    <s v="Harlequin Ladybird"/>
    <s v="species"/>
    <x v="1"/>
    <s v="Arthropoda"/>
    <s v="Insecta"/>
    <s v="Coleoptera"/>
    <s v="Coccinellidae"/>
    <s v="Harmonia"/>
    <s v="SE46052237"/>
    <s v="SE"/>
    <s v="SE42"/>
    <s v="SE42R"/>
    <s v="SE4622"/>
    <n v="0"/>
  </r>
  <r>
    <n v="48653539"/>
    <d v="2026-01-14T00:00:00"/>
    <n v="14"/>
    <x v="1"/>
    <n v="2026"/>
    <s v="dr2141"/>
    <s v="British Bryological Society"/>
    <s v="dp74"/>
    <s v="Campylopus introflexus"/>
    <s v="Heath Star Moss"/>
    <s v="species"/>
    <x v="0"/>
    <s v="Bryophyta"/>
    <s v="Bryopsida"/>
    <s v="Dicranales"/>
    <s v="Leucobryaceae"/>
    <s v="Campylopus"/>
    <s v="SD91572828"/>
    <s v="SD"/>
    <s v="SD92"/>
    <s v="SD92E"/>
    <s v="SD9128"/>
    <n v="8"/>
  </r>
  <r>
    <n v="49620068"/>
    <d v="2026-02-06T00:00:00"/>
    <n v="6"/>
    <x v="0"/>
    <n v="2026"/>
    <s v="dr2141"/>
    <s v="British Bryological Society"/>
    <s v="dp74"/>
    <s v="Pseudoscleropodium purum"/>
    <s v="Neat Feather-moss"/>
    <s v="species"/>
    <x v="0"/>
    <s v="Bryophyta"/>
    <s v="Bryopsida"/>
    <s v="Hypnales"/>
    <s v="Brachytheciaceae"/>
    <s v="Pseudoscleropodium"/>
    <s v="SE08312015"/>
    <s v="SE"/>
    <s v="SE02"/>
    <s v="SE02V"/>
    <s v="SE0820"/>
    <n v="9"/>
  </r>
  <r>
    <n v="49620071"/>
    <d v="2026-02-06T00:00:00"/>
    <n v="6"/>
    <x v="0"/>
    <n v="2026"/>
    <s v="dr2141"/>
    <s v="British Bryological Society"/>
    <s v="dp74"/>
    <s v="Hylocomium splendens"/>
    <s v="Glittering Wood-moss"/>
    <s v="species"/>
    <x v="0"/>
    <s v="Bryophyta"/>
    <s v="Bryopsida"/>
    <s v="Hypnales"/>
    <s v="Hylocomiaceae"/>
    <s v="Hylocomium"/>
    <s v="SE08222013"/>
    <s v="SE"/>
    <s v="SE02"/>
    <s v="SE02V"/>
    <s v="SE0820"/>
    <n v="0"/>
  </r>
  <r>
    <n v="49620081"/>
    <d v="2026-02-06T00:00:00"/>
    <n v="6"/>
    <x v="0"/>
    <n v="2026"/>
    <s v="dr2141"/>
    <s v="British Bryological Society"/>
    <s v="dp74"/>
    <s v="Plagiothecium undulatum"/>
    <s v="Waved Silk-moss"/>
    <s v="species"/>
    <x v="0"/>
    <s v="Bryophyta"/>
    <s v="Bryopsida"/>
    <s v="Hypnales"/>
    <s v="Plagiotheciaceae"/>
    <s v="Plagiothecium"/>
    <s v="SE07451993"/>
    <s v="SE"/>
    <s v="SE01"/>
    <s v="SE01U"/>
    <s v="SE0719"/>
    <n v="5"/>
  </r>
  <r>
    <n v="49512902"/>
    <d v="2026-02-04T00:00:00"/>
    <n v="4"/>
    <x v="0"/>
    <n v="2026"/>
    <s v="dr2141"/>
    <s v="British Bryological Society"/>
    <s v="dp74"/>
    <s v="Thamnobryum alopecurum"/>
    <s v="Fox-tail Feather-moss"/>
    <s v="species"/>
    <x v="0"/>
    <s v="Bryophyta"/>
    <s v="Bryopsida"/>
    <s v="Hypnales"/>
    <s v="Neckeraceae"/>
    <s v="Thamnobryum"/>
    <s v="SD96602658"/>
    <s v="SD"/>
    <s v="SD92"/>
    <s v="SD92T"/>
    <s v="SD9626"/>
    <n v="2"/>
  </r>
  <r>
    <n v="48617328"/>
    <d v="2026-01-10T00:00:00"/>
    <n v="10"/>
    <x v="1"/>
    <n v="2026"/>
    <s v="dr2141"/>
    <s v="British Bryological Society"/>
    <s v="dp74"/>
    <s v="Amblystegium serpens"/>
    <s v="Creeping Feather-moss"/>
    <s v="species"/>
    <x v="0"/>
    <s v="Bryophyta"/>
    <s v="Bryopsida"/>
    <s v="Hypnales"/>
    <s v="Amblystegiaceae"/>
    <s v="Amblystegium"/>
    <s v="SE10072540"/>
    <s v="SE"/>
    <s v="SE12"/>
    <s v="SE12C"/>
    <s v="SE1025"/>
    <n v="5"/>
  </r>
  <r>
    <n v="49886861"/>
    <d v="2026-01-16T00:00:00"/>
    <n v="16"/>
    <x v="1"/>
    <n v="2026"/>
    <s v="dr2141"/>
    <s v="British Bryological Society"/>
    <s v="dp74"/>
    <s v="Pellia epiphylla"/>
    <s v="Overleaf Pellia"/>
    <s v="species"/>
    <x v="0"/>
    <s v="Marchantiophyta"/>
    <s v="Jungermanniopsida"/>
    <s v="Pelliales"/>
    <s v="Pelliaceae"/>
    <s v="Pellia"/>
    <s v="SD95064931"/>
    <s v="SD"/>
    <s v="SD94"/>
    <s v="SD94P"/>
    <s v="SD9549"/>
    <n v="4"/>
  </r>
  <r>
    <n v="49304206"/>
    <d v="2026-02-01T00:00:00"/>
    <n v="1"/>
    <x v="0"/>
    <n v="2026"/>
    <s v="dr2141"/>
    <s v="British Bryological Society"/>
    <s v="dp74"/>
    <s v="Calliergonella cuspidata"/>
    <s v="Pointed Spear-moss"/>
    <s v="species"/>
    <x v="0"/>
    <s v="Bryophyta"/>
    <s v="Bryopsida"/>
    <s v="Hypnales"/>
    <s v="Pylaisiaceae"/>
    <s v="Calliergonella"/>
    <s v="SK29618984"/>
    <s v="SK"/>
    <s v="SK28"/>
    <s v="SK28Z"/>
    <s v="SK2989"/>
    <n v="6"/>
  </r>
  <r>
    <n v="48605645"/>
    <d v="2026-01-09T00:00:00"/>
    <n v="9"/>
    <x v="1"/>
    <n v="2026"/>
    <s v="dr736"/>
    <s v="Biological Records Centre"/>
    <s v="dp77"/>
    <s v="Harmonia axyridis"/>
    <s v="Harlequin Ladybird"/>
    <s v="species"/>
    <x v="1"/>
    <s v="Arthropoda"/>
    <s v="Insecta"/>
    <s v="Coleoptera"/>
    <s v="Coccinellidae"/>
    <s v="Harmonia"/>
    <s v="SE46052237"/>
    <s v="SE"/>
    <s v="SE42"/>
    <s v="SE42R"/>
    <s v="SE4622"/>
    <n v="9"/>
  </r>
  <r>
    <n v="48667259"/>
    <d v="2026-01-14T00:00:00"/>
    <n v="14"/>
    <x v="1"/>
    <n v="2026"/>
    <s v="dr2141"/>
    <s v="British Bryological Society"/>
    <s v="dp74"/>
    <s v="Thuidium tamariscinum"/>
    <s v="Common Tamarisk-moss"/>
    <s v="species"/>
    <x v="0"/>
    <s v="Bryophyta"/>
    <s v="Bryopsida"/>
    <s v="Hypnales"/>
    <s v="Thuidiaceae"/>
    <s v="Thuidium"/>
    <s v="SD91412822"/>
    <s v="SD"/>
    <s v="SD92"/>
    <s v="SD92E"/>
    <s v="SD9128"/>
    <n v="0"/>
  </r>
  <r>
    <n v="49603675"/>
    <d v="2026-02-06T00:00:00"/>
    <n v="6"/>
    <x v="0"/>
    <n v="2026"/>
    <s v="dr696"/>
    <s v="Biological Records Centre"/>
    <s v="dp77"/>
    <s v="Leptoglossus occidentalis"/>
    <s v="Western Conifer Seed Bug"/>
    <s v="species"/>
    <x v="1"/>
    <s v="Arthropoda"/>
    <s v="Insecta"/>
    <s v="Hemiptera"/>
    <s v="Coreidae"/>
    <s v="Leptoglossus"/>
    <s v="SK342851"/>
    <s v="SK"/>
    <s v="SK38"/>
    <s v="SK38M"/>
    <s v="SK3485"/>
    <n v="2"/>
  </r>
  <r>
    <n v="48741205"/>
    <d v="2026-01-22T00:00:00"/>
    <n v="22"/>
    <x v="1"/>
    <n v="2026"/>
    <s v="dr2141"/>
    <s v="British Bryological Society"/>
    <s v="dp74"/>
    <s v="Plagiomnium undulatum"/>
    <s v="Hart's-tongue Thyme-moss"/>
    <s v="species"/>
    <x v="0"/>
    <s v="Bryophyta"/>
    <s v="Bryopsida"/>
    <s v="Bryales"/>
    <s v="Mniaceae"/>
    <s v="Plagiomnium"/>
    <s v="SE14722523"/>
    <s v="SE"/>
    <s v="SE12"/>
    <s v="SE12M"/>
    <s v="SE1425"/>
    <n v="5"/>
  </r>
  <r>
    <n v="49671662"/>
    <d v="2026-02-09T00:00:00"/>
    <n v="9"/>
    <x v="0"/>
    <n v="2026"/>
    <s v="dr2141"/>
    <s v="British Bryological Society"/>
    <s v="dp74"/>
    <s v="Atrichum undulatum"/>
    <s v="Common Smoothcap"/>
    <s v="species"/>
    <x v="0"/>
    <s v="Bryophyta"/>
    <s v="Polytrichopsida"/>
    <s v="Polytrichales"/>
    <s v="Polytrichaceae"/>
    <s v="Atrichum"/>
    <s v="SE10742690"/>
    <s v="SE"/>
    <s v="SE12"/>
    <s v="SE12D"/>
    <s v="SE1026"/>
    <n v="7"/>
  </r>
  <r>
    <n v="48912687"/>
    <d v="2026-01-26T00:00:00"/>
    <n v="26"/>
    <x v="1"/>
    <n v="2026"/>
    <s v="dr2141"/>
    <s v="British Bryological Society"/>
    <s v="dp74"/>
    <s v="Brachythecium rutabulum"/>
    <s v="Rough-stalked Feather-moss"/>
    <s v="species"/>
    <x v="0"/>
    <s v="Bryophyta"/>
    <s v="Bryopsida"/>
    <s v="Hypnales"/>
    <s v="Brachytheciaceae"/>
    <s v="Brachythecium"/>
    <s v="SE07372132"/>
    <s v="SE"/>
    <s v="SE02"/>
    <s v="SE02Q"/>
    <s v="SE0721"/>
    <n v="9"/>
  </r>
  <r>
    <n v="49303284"/>
    <d v="2026-01-31T00:00:00"/>
    <n v="31"/>
    <x v="1"/>
    <n v="2026"/>
    <s v="dr2141"/>
    <s v="British Bryological Society"/>
    <s v="dp74"/>
    <s v="Diplophyllum albicans"/>
    <s v="White Earwort"/>
    <s v="species"/>
    <x v="0"/>
    <s v="Marchantiophyta"/>
    <s v="Jungermanniopsida"/>
    <s v="Jungermanniales"/>
    <s v="Scapaniaceae"/>
    <s v="Diplophyllum"/>
    <s v="SD99851748"/>
    <s v="SD"/>
    <s v="SD91"/>
    <s v="SD91Y"/>
    <s v="SD9917"/>
    <n v="3"/>
  </r>
  <r>
    <n v="50026524"/>
    <d v="2026-02-13T00:00:00"/>
    <n v="13"/>
    <x v="0"/>
    <n v="2026"/>
    <s v="dr2141"/>
    <s v="British Bryological Society"/>
    <s v="dp74"/>
    <s v="Ceratodon purpureus"/>
    <s v="Redshank"/>
    <s v="species"/>
    <x v="0"/>
    <s v="Bryophyta"/>
    <s v="Bryopsida"/>
    <s v="Dicranales"/>
    <s v="Ditrichaceae"/>
    <s v="Ceratodon"/>
    <s v="SK352851"/>
    <s v="SK"/>
    <s v="SK38"/>
    <s v="SK38M"/>
    <s v="SK3585"/>
    <n v="2"/>
  </r>
  <r>
    <n v="48662108"/>
    <d v="2026-01-15T00:00:00"/>
    <n v="15"/>
    <x v="1"/>
    <n v="2026"/>
    <s v="dr2141"/>
    <s v="British Bryological Society"/>
    <s v="dp74"/>
    <s v="Plagiothecium undulatum"/>
    <s v="Waved Silk-moss"/>
    <s v="species"/>
    <x v="0"/>
    <s v="Bryophyta"/>
    <s v="Bryopsida"/>
    <s v="Hypnales"/>
    <s v="Plagiotheciaceae"/>
    <s v="Plagiothecium"/>
    <s v="SE067168"/>
    <s v="SE"/>
    <s v="SE01"/>
    <s v="SE01T"/>
    <s v="SE0616"/>
    <n v="6"/>
  </r>
  <r>
    <n v="49304148"/>
    <d v="2026-02-01T00:00:00"/>
    <n v="1"/>
    <x v="0"/>
    <n v="2026"/>
    <s v="dr2141"/>
    <s v="British Bryological Society"/>
    <s v="dp74"/>
    <s v="Bryum capillare"/>
    <s v="Capillary Thread-moss"/>
    <s v="species"/>
    <x v="0"/>
    <s v="Bryophyta"/>
    <s v="Bryopsida"/>
    <s v="Bryales"/>
    <s v="Bryaceae"/>
    <s v="Bryum"/>
    <s v="SK28699048"/>
    <s v="SK"/>
    <s v="SK29"/>
    <s v="SK29V"/>
    <s v="SK2890"/>
    <n v="5"/>
  </r>
  <r>
    <n v="49888479"/>
    <d v="2026-02-10T00:00:00"/>
    <n v="10"/>
    <x v="0"/>
    <n v="2026"/>
    <s v="dr2141"/>
    <s v="British Bryological Society"/>
    <s v="dp74"/>
    <s v="Rhytidiadelphus squarrosus"/>
    <s v="Springy Turf-moss"/>
    <s v="species"/>
    <x v="0"/>
    <s v="Bryophyta"/>
    <s v="Bryopsida"/>
    <s v="Hypnales"/>
    <s v="Hylocomiaceae"/>
    <s v="Rhytidiadelphus"/>
    <s v="SE12212972"/>
    <s v="SE"/>
    <s v="SE12"/>
    <s v="SE12J"/>
    <s v="SE1229"/>
    <n v="8"/>
  </r>
  <r>
    <n v="49304155"/>
    <d v="2026-02-01T00:00:00"/>
    <n v="1"/>
    <x v="0"/>
    <n v="2026"/>
    <s v="dr2141"/>
    <s v="British Bryological Society"/>
    <s v="dp74"/>
    <s v="Radula complanata"/>
    <s v="Even Scalewort"/>
    <s v="species"/>
    <x v="0"/>
    <s v="Marchantiophyta"/>
    <s v="Jungermanniopsida"/>
    <s v="Porellales"/>
    <s v="Radulaceae"/>
    <s v="Radula"/>
    <s v="SK293900"/>
    <s v="SK"/>
    <s v="SK29"/>
    <s v="SK29V"/>
    <s v="SK2990"/>
    <n v="9"/>
  </r>
  <r>
    <n v="49387272"/>
    <d v="2026-02-02T00:00:00"/>
    <n v="2"/>
    <x v="0"/>
    <n v="2026"/>
    <s v="dr2141"/>
    <s v="British Bryological Society"/>
    <s v="dp74"/>
    <s v="Sphagnum subnitens"/>
    <s v="Lustrous Bog-moss"/>
    <s v="species"/>
    <x v="0"/>
    <s v="Bryophyta"/>
    <s v="Sphagnopsida"/>
    <s v="Sphagnales"/>
    <s v="Sphagnaceae"/>
    <s v="Sphagnum"/>
    <s v="SE20322932"/>
    <s v="SE"/>
    <s v="SE22"/>
    <s v="SE22E"/>
    <s v="SE2029"/>
    <n v="0"/>
  </r>
  <r>
    <n v="48665832"/>
    <d v="2026-01-15T00:00:00"/>
    <n v="15"/>
    <x v="1"/>
    <n v="2026"/>
    <s v="dr2141"/>
    <s v="British Bryological Society"/>
    <s v="dp74"/>
    <s v="Rhytidiadelphus squarrosus"/>
    <s v="Springy Turf-moss"/>
    <s v="species"/>
    <x v="0"/>
    <s v="Bryophyta"/>
    <s v="Bryopsida"/>
    <s v="Hypnales"/>
    <s v="Hylocomiaceae"/>
    <s v="Rhytidiadelphus"/>
    <s v="SE07091719"/>
    <s v="SE"/>
    <s v="SE01"/>
    <s v="SE01T"/>
    <s v="SE0717"/>
    <n v="1"/>
  </r>
  <r>
    <n v="50032262"/>
    <d v="2026-02-15T00:00:00"/>
    <n v="15"/>
    <x v="0"/>
    <n v="2026"/>
    <s v="dr2141"/>
    <s v="British Bryological Society"/>
    <s v="dp74"/>
    <s v="Schistidium crassipilum"/>
    <s v="Thickpoint Grimmia"/>
    <s v="species"/>
    <x v="0"/>
    <s v="Bryophyta"/>
    <s v="Bryopsida"/>
    <s v="Grimmiales"/>
    <s v="Grimmiaceae"/>
    <s v="Schistidium"/>
    <s v="SK324817"/>
    <s v="SK"/>
    <s v="SK38"/>
    <s v="SK38F"/>
    <s v="SK3281"/>
    <n v="0"/>
  </r>
  <r>
    <n v="49323239"/>
    <d v="2026-02-01T00:00:00"/>
    <n v="1"/>
    <x v="0"/>
    <n v="2026"/>
    <s v="dr2141"/>
    <s v="British Bryological Society"/>
    <s v="dp74"/>
    <s v="Pleurozium schreberi"/>
    <s v="Red-stemmed Feather-moss"/>
    <s v="species"/>
    <x v="0"/>
    <s v="Bryophyta"/>
    <s v="Bryopsida"/>
    <s v="Hypnales"/>
    <s v="Hylocomiaceae"/>
    <s v="Pleurozium"/>
    <s v="SE25202315"/>
    <s v="SE"/>
    <s v="SE22"/>
    <s v="SE22L"/>
    <s v="SE2523"/>
    <n v="1"/>
  </r>
  <r>
    <n v="49711744"/>
    <d v="2026-02-08T00:00:00"/>
    <n v="8"/>
    <x v="0"/>
    <n v="2026"/>
    <s v="dr736"/>
    <s v="Biological Records Centre"/>
    <s v="dp77"/>
    <s v="Coccinella septempunctata"/>
    <s v="7-spot Ladybird"/>
    <s v="species"/>
    <x v="1"/>
    <s v="Arthropoda"/>
    <s v="Insecta"/>
    <s v="Coleoptera"/>
    <s v="Coccinellidae"/>
    <s v="Coccinella"/>
    <s v="SD988300"/>
    <s v="SD"/>
    <s v="SD93"/>
    <s v="SD93V"/>
    <s v="SD9830"/>
    <n v="1"/>
  </r>
  <r>
    <n v="48683319"/>
    <d v="2026-01-17T00:00:00"/>
    <n v="17"/>
    <x v="1"/>
    <n v="2026"/>
    <s v="dr2141"/>
    <s v="British Bryological Society"/>
    <s v="dp74"/>
    <s v="Calliergonella cuspidata"/>
    <s v="Pointed Spear-moss"/>
    <s v="species"/>
    <x v="0"/>
    <s v="Bryophyta"/>
    <s v="Bryopsida"/>
    <s v="Hypnales"/>
    <s v="Pylaisiaceae"/>
    <s v="Calliergonella"/>
    <s v="SE167293"/>
    <s v="SE"/>
    <s v="SE12"/>
    <s v="SE12U"/>
    <s v="SE1629"/>
    <n v="1"/>
  </r>
  <r>
    <n v="49888478"/>
    <d v="2026-02-10T00:00:00"/>
    <n v="10"/>
    <x v="0"/>
    <n v="2026"/>
    <s v="dr2141"/>
    <s v="British Bryological Society"/>
    <s v="dp74"/>
    <s v="Kindbergia praelonga"/>
    <s v="Common Feather-moss"/>
    <s v="species"/>
    <x v="0"/>
    <s v="Bryophyta"/>
    <s v="Bryopsida"/>
    <s v="Hypnales"/>
    <s v="Brachytheciaceae"/>
    <s v="Kindbergia"/>
    <s v="SE12113007"/>
    <s v="SE"/>
    <s v="SE13"/>
    <s v="SE13F"/>
    <s v="SE1230"/>
    <n v="0"/>
  </r>
  <r>
    <n v="48675008"/>
    <d v="2026-01-16T00:00:00"/>
    <n v="16"/>
    <x v="1"/>
    <n v="2026"/>
    <s v="dr2141"/>
    <s v="British Bryological Society"/>
    <s v="dp74"/>
    <s v="Grimmia pulvinata"/>
    <s v="Grey-cushioned Grimmia"/>
    <s v="species"/>
    <x v="0"/>
    <s v="Bryophyta"/>
    <s v="Bryopsida"/>
    <s v="Grimmiales"/>
    <s v="Grimmiaceae"/>
    <s v="Grimmia"/>
    <s v="SE02072393"/>
    <s v="SE"/>
    <s v="SE02"/>
    <s v="SE02G"/>
    <s v="SE0223"/>
    <n v="2"/>
  </r>
  <r>
    <n v="49246326"/>
    <d v="2026-01-30T00:00:00"/>
    <n v="30"/>
    <x v="1"/>
    <n v="2026"/>
    <s v="dr2141"/>
    <s v="British Bryological Society"/>
    <s v="dp74"/>
    <s v="Didymodon insulanus"/>
    <s v="Cylindric Beard-moss"/>
    <s v="species"/>
    <x v="0"/>
    <s v="Bryophyta"/>
    <s v="Bryopsida"/>
    <s v="Dicranales"/>
    <s v="Pottiaceae"/>
    <s v="Didymodon"/>
    <s v="SK375865"/>
    <s v="SK"/>
    <s v="SK38"/>
    <s v="SK38T"/>
    <s v="SK3786"/>
    <n v="3"/>
  </r>
  <r>
    <n v="49297870"/>
    <d v="2026-01-31T00:00:00"/>
    <n v="31"/>
    <x v="1"/>
    <n v="2026"/>
    <s v="dr1215"/>
    <s v="Terrestrial Heteroptera Recording Scheme (Shieldbugs &amp; allied species)"/>
    <s v="dp108"/>
    <s v="Palomena prasina"/>
    <s v="Green Shieldbug"/>
    <s v="species"/>
    <x v="1"/>
    <s v="Arthropoda"/>
    <s v="Insecta"/>
    <s v="Hemiptera"/>
    <s v="Pentatomidae"/>
    <s v="Palomena"/>
    <s v="SE562045"/>
    <s v="SE"/>
    <s v="SE50"/>
    <s v="SE50S"/>
    <s v="SE5604"/>
    <n v="4"/>
  </r>
  <r>
    <n v="49303289"/>
    <d v="2026-01-31T00:00:00"/>
    <n v="31"/>
    <x v="1"/>
    <n v="2026"/>
    <s v="dr2141"/>
    <s v="British Bryological Society"/>
    <s v="dp74"/>
    <s v="Sphagnum palustre"/>
    <s v="Blunt-leaved Bog-moss"/>
    <s v="species"/>
    <x v="0"/>
    <s v="Bryophyta"/>
    <s v="Sphagnopsida"/>
    <s v="Sphagnales"/>
    <s v="Sphagnaceae"/>
    <s v="Sphagnum"/>
    <s v="SE00151714"/>
    <s v="SE"/>
    <s v="SE01"/>
    <s v="SE01D"/>
    <s v="SE0017"/>
    <n v="5"/>
  </r>
  <r>
    <n v="49724505"/>
    <d v="2026-01-30T00:00:00"/>
    <n v="30"/>
    <x v="1"/>
    <n v="2026"/>
    <s v="dr2141"/>
    <s v="British Bryological Society"/>
    <s v="dp74"/>
    <s v="Brachythecium rutabulum"/>
    <s v="Rough-stalked Feather-moss"/>
    <s v="species"/>
    <x v="0"/>
    <s v="Bryophyta"/>
    <s v="Bryopsida"/>
    <s v="Hypnales"/>
    <s v="Brachytheciaceae"/>
    <s v="Brachythecium"/>
    <s v="SE16752267"/>
    <s v="SE"/>
    <s v="SE12"/>
    <s v="SE12R"/>
    <s v="SE1622"/>
    <n v="6"/>
  </r>
  <r>
    <n v="49298507"/>
    <d v="2026-01-31T00:00:00"/>
    <n v="31"/>
    <x v="1"/>
    <n v="2026"/>
    <s v="dr2141"/>
    <s v="British Bryological Society"/>
    <s v="dp74"/>
    <s v="Pseudoscleropodium purum"/>
    <s v="Neat Feather-moss"/>
    <s v="species"/>
    <x v="0"/>
    <s v="Bryophyta"/>
    <s v="Bryopsida"/>
    <s v="Hypnales"/>
    <s v="Brachytheciaceae"/>
    <s v="Pseudoscleropodium"/>
    <s v="SE00771823"/>
    <s v="SE"/>
    <s v="SE01"/>
    <s v="SE01E"/>
    <s v="SE0018"/>
    <n v="8"/>
  </r>
  <r>
    <n v="48683320"/>
    <d v="2026-01-17T00:00:00"/>
    <n v="17"/>
    <x v="1"/>
    <n v="2026"/>
    <s v="dr2141"/>
    <s v="British Bryological Society"/>
    <s v="dp74"/>
    <s v="Amblystegium serpens"/>
    <s v="Creeping Feather-moss"/>
    <s v="species"/>
    <x v="0"/>
    <s v="Bryophyta"/>
    <s v="Bryopsida"/>
    <s v="Hypnales"/>
    <s v="Amblystegiaceae"/>
    <s v="Amblystegium"/>
    <s v="SE16572942"/>
    <s v="SE"/>
    <s v="SE12"/>
    <s v="SE12U"/>
    <s v="SE1629"/>
    <n v="9"/>
  </r>
  <r>
    <n v="48995016"/>
    <d v="2026-01-23T00:00:00"/>
    <n v="23"/>
    <x v="1"/>
    <n v="2026"/>
    <s v="dr2141"/>
    <s v="British Bryological Society"/>
    <s v="dp74"/>
    <s v="Pleurozium schreberi"/>
    <s v="Red-stemmed Feather-moss"/>
    <s v="species"/>
    <x v="0"/>
    <s v="Bryophyta"/>
    <s v="Bryopsida"/>
    <s v="Hypnales"/>
    <s v="Hylocomiaceae"/>
    <s v="Pleurozium"/>
    <s v="SE11922039"/>
    <s v="SE"/>
    <s v="SE12"/>
    <s v="SE12A"/>
    <s v="SE1120"/>
    <n v="5"/>
  </r>
  <r>
    <n v="49620069"/>
    <d v="2026-02-06T00:00:00"/>
    <n v="6"/>
    <x v="0"/>
    <n v="2026"/>
    <s v="dr2141"/>
    <s v="British Bryological Society"/>
    <s v="dp74"/>
    <s v="Pleurozium schreberi"/>
    <s v="Red-stemmed Feather-moss"/>
    <s v="species"/>
    <x v="0"/>
    <s v="Bryophyta"/>
    <s v="Bryopsida"/>
    <s v="Hypnales"/>
    <s v="Hylocomiaceae"/>
    <s v="Pleurozium"/>
    <s v="SE08232013"/>
    <s v="SE"/>
    <s v="SE02"/>
    <s v="SE02V"/>
    <s v="SE0820"/>
    <n v="2"/>
  </r>
  <r>
    <n v="49724556"/>
    <d v="2026-02-09T00:00:00"/>
    <n v="9"/>
    <x v="0"/>
    <n v="2026"/>
    <s v="dr2141"/>
    <s v="British Bryological Society"/>
    <s v="dp74"/>
    <s v="Hypnum jutlandicum"/>
    <s v="Heath Plait-moss"/>
    <s v="species"/>
    <x v="0"/>
    <s v="Bryophyta"/>
    <s v="Bryopsida"/>
    <s v="Hypnales"/>
    <s v="Hypnaceae"/>
    <s v="Hypnum"/>
    <s v="SE10842654"/>
    <s v="SE"/>
    <s v="SE12"/>
    <s v="SE12D"/>
    <s v="SE1026"/>
    <n v="1"/>
  </r>
  <r>
    <n v="49517752"/>
    <d v="2026-02-04T00:00:00"/>
    <n v="4"/>
    <x v="0"/>
    <n v="2026"/>
    <s v="dr2141"/>
    <s v="British Bryological Society"/>
    <s v="dp74"/>
    <s v="Dicranum scoparium"/>
    <s v="Broom Fork-moss"/>
    <s v="species"/>
    <x v="0"/>
    <s v="Bryophyta"/>
    <s v="Bryopsida"/>
    <s v="Dicranales"/>
    <s v="Dicranaceae"/>
    <s v="Dicranum"/>
    <s v="SD96532679"/>
    <s v="SD"/>
    <s v="SD92"/>
    <s v="SD92T"/>
    <s v="SD9626"/>
    <n v="4"/>
  </r>
  <r>
    <n v="50032448"/>
    <d v="2026-02-15T00:00:00"/>
    <n v="15"/>
    <x v="0"/>
    <n v="2026"/>
    <s v="dr2141"/>
    <s v="British Bryological Society"/>
    <s v="dp74"/>
    <s v="Bryum capillare"/>
    <s v="Capillary Thread-moss"/>
    <s v="species"/>
    <x v="0"/>
    <s v="Bryophyta"/>
    <s v="Bryopsida"/>
    <s v="Bryales"/>
    <s v="Bryaceae"/>
    <s v="Bryum"/>
    <s v="SK324818"/>
    <s v="SK"/>
    <s v="SK38"/>
    <s v="SK38F"/>
    <s v="SK3281"/>
    <n v="6"/>
  </r>
  <r>
    <n v="48683318"/>
    <d v="2026-01-17T00:00:00"/>
    <n v="17"/>
    <x v="1"/>
    <n v="2026"/>
    <s v="dr2141"/>
    <s v="British Bryological Society"/>
    <s v="dp74"/>
    <s v="Atrichum undulatum"/>
    <s v="Common Smoothcap"/>
    <s v="species"/>
    <x v="0"/>
    <s v="Bryophyta"/>
    <s v="Polytrichopsida"/>
    <s v="Polytrichales"/>
    <s v="Polytrichaceae"/>
    <s v="Atrichum"/>
    <s v="SE16402950"/>
    <s v="SE"/>
    <s v="SE12"/>
    <s v="SE12U"/>
    <s v="SE1629"/>
    <n v="8"/>
  </r>
  <r>
    <n v="48722318"/>
    <d v="2026-01-20T00:00:00"/>
    <n v="20"/>
    <x v="1"/>
    <n v="2026"/>
    <s v="dr2141"/>
    <s v="British Bryological Society"/>
    <s v="dp74"/>
    <s v="Rhytidiadelphus squarrosus"/>
    <s v="Springy Turf-moss"/>
    <s v="species"/>
    <x v="0"/>
    <s v="Bryophyta"/>
    <s v="Bryopsida"/>
    <s v="Hypnales"/>
    <s v="Hylocomiaceae"/>
    <s v="Rhytidiadelphus"/>
    <s v="SE09343387"/>
    <s v="SE"/>
    <s v="SE03"/>
    <s v="SE03W"/>
    <s v="SE0933"/>
    <n v="7"/>
  </r>
  <r>
    <n v="49517749"/>
    <d v="2026-02-04T00:00:00"/>
    <n v="4"/>
    <x v="0"/>
    <n v="2026"/>
    <s v="dr2141"/>
    <s v="British Bryological Society"/>
    <s v="dp74"/>
    <s v="Hypnum jutlandicum"/>
    <s v="Heath Plait-moss"/>
    <s v="species"/>
    <x v="0"/>
    <s v="Bryophyta"/>
    <s v="Bryopsida"/>
    <s v="Hypnales"/>
    <s v="Hypnaceae"/>
    <s v="Hypnum"/>
    <s v="SD96712651"/>
    <s v="SD"/>
    <s v="SD92"/>
    <s v="SD92T"/>
    <s v="SD9626"/>
    <n v="9"/>
  </r>
  <r>
    <n v="48665827"/>
    <d v="2026-01-15T00:00:00"/>
    <n v="15"/>
    <x v="1"/>
    <n v="2026"/>
    <s v="dr2141"/>
    <s v="British Bryological Society"/>
    <s v="dp74"/>
    <s v="Pseudoscleropodium purum"/>
    <s v="Neat Feather-moss"/>
    <s v="species"/>
    <x v="0"/>
    <s v="Bryophyta"/>
    <s v="Bryopsida"/>
    <s v="Hypnales"/>
    <s v="Brachytheciaceae"/>
    <s v="Pseudoscleropodium"/>
    <s v="SE07121706"/>
    <s v="SE"/>
    <s v="SE01"/>
    <s v="SE01T"/>
    <s v="SE0717"/>
    <n v="2"/>
  </r>
  <r>
    <n v="48675300"/>
    <d v="2026-01-16T00:00:00"/>
    <n v="16"/>
    <x v="1"/>
    <n v="2026"/>
    <s v="dr2141"/>
    <s v="British Bryological Society"/>
    <s v="dp74"/>
    <s v="Thuidium tamariscinum"/>
    <s v="Common Tamarisk-moss"/>
    <s v="species"/>
    <x v="0"/>
    <s v="Bryophyta"/>
    <s v="Bryopsida"/>
    <s v="Hypnales"/>
    <s v="Thuidiaceae"/>
    <s v="Thuidium"/>
    <s v="SE01772384"/>
    <s v="SE"/>
    <s v="SE02"/>
    <s v="SE02B"/>
    <s v="SE0123"/>
    <n v="4"/>
  </r>
  <r>
    <n v="49961777"/>
    <d v="2026-02-12T00:00:00"/>
    <n v="12"/>
    <x v="0"/>
    <n v="2026"/>
    <s v="dr2141"/>
    <s v="British Bryological Society"/>
    <s v="dp74"/>
    <s v="Rhytidiadelphus squarrosus"/>
    <s v="Springy Turf-moss"/>
    <s v="species"/>
    <x v="0"/>
    <s v="Bryophyta"/>
    <s v="Bryopsida"/>
    <s v="Hypnales"/>
    <s v="Hylocomiaceae"/>
    <s v="Rhytidiadelphus"/>
    <s v="SK346873"/>
    <s v="SK"/>
    <s v="SK38"/>
    <s v="SK38N"/>
    <s v="SK3487"/>
    <n v="5"/>
  </r>
  <r>
    <n v="49395894"/>
    <d v="2026-02-02T00:00:00"/>
    <n v="2"/>
    <x v="0"/>
    <n v="2026"/>
    <s v="dr2141"/>
    <s v="British Bryological Society"/>
    <s v="dp74"/>
    <s v="Sphagnum fallax"/>
    <s v="Flat-topped Bog-moss"/>
    <s v="species"/>
    <x v="0"/>
    <s v="Bryophyta"/>
    <s v="Sphagnopsida"/>
    <s v="Sphagnales"/>
    <s v="Sphagnaceae"/>
    <s v="Sphagnum"/>
    <s v="SE20332931"/>
    <s v="SE"/>
    <s v="SE22"/>
    <s v="SE22E"/>
    <s v="SE2029"/>
    <n v="6"/>
  </r>
  <r>
    <n v="49961968"/>
    <d v="2026-02-12T00:00:00"/>
    <n v="12"/>
    <x v="0"/>
    <n v="2026"/>
    <s v="dr2141"/>
    <s v="British Bryological Society"/>
    <s v="dp74"/>
    <s v="Tortula muralis"/>
    <s v="Wall Screw-moss"/>
    <s v="species"/>
    <x v="0"/>
    <s v="Bryophyta"/>
    <s v="Bryopsida"/>
    <s v="Dicranales"/>
    <s v="Pottiaceae"/>
    <s v="Tortula"/>
    <s v="SK346873"/>
    <s v="SK"/>
    <s v="SK38"/>
    <s v="SK38N"/>
    <s v="SK3487"/>
    <n v="2"/>
  </r>
  <r>
    <n v="49303486"/>
    <d v="2026-01-31T00:00:00"/>
    <n v="31"/>
    <x v="1"/>
    <n v="2026"/>
    <s v="dr2141"/>
    <s v="British Bryological Society"/>
    <s v="dp74"/>
    <s v="Polytrichum commune s.l."/>
    <s v="Common Haircap"/>
    <s v="species aggregate"/>
    <x v="0"/>
    <s v="Bryophyta"/>
    <s v="Polytrichopsida"/>
    <s v="Polytrichales"/>
    <s v="Polytrichaceae"/>
    <s v="Polytrichum"/>
    <s v="SD99901722"/>
    <s v="SD"/>
    <s v="SD91"/>
    <s v="SD91Y"/>
    <s v="SD9917"/>
    <n v="8"/>
  </r>
  <r>
    <n v="50023797"/>
    <d v="2026-02-13T00:00:00"/>
    <n v="13"/>
    <x v="0"/>
    <n v="2026"/>
    <s v="dr2141"/>
    <s v="British Bryological Society"/>
    <s v="dp74"/>
    <s v="Tortula muralis"/>
    <s v="Wall Screw-moss"/>
    <s v="species"/>
    <x v="0"/>
    <s v="Bryophyta"/>
    <s v="Bryopsida"/>
    <s v="Dicranales"/>
    <s v="Pottiaceae"/>
    <s v="Tortula"/>
    <s v="SK352850"/>
    <s v="SK"/>
    <s v="SK38"/>
    <s v="SK38M"/>
    <s v="SK3585"/>
    <n v="6"/>
  </r>
  <r>
    <n v="49303950"/>
    <d v="2026-02-01T00:00:00"/>
    <n v="1"/>
    <x v="0"/>
    <n v="2026"/>
    <s v="dr2141"/>
    <s v="British Bryological Society"/>
    <s v="dp74"/>
    <s v="Homalothecium sericeum"/>
    <s v="Silky Wall Feather-moss"/>
    <s v="species"/>
    <x v="0"/>
    <s v="Bryophyta"/>
    <s v="Bryopsida"/>
    <s v="Hypnales"/>
    <s v="Brachytheciaceae"/>
    <s v="Homalothecium"/>
    <s v="SK292903"/>
    <s v="SK"/>
    <s v="SK29"/>
    <s v="SK29V"/>
    <s v="SK2990"/>
    <n v="1"/>
  </r>
  <r>
    <n v="48722320"/>
    <d v="2026-01-20T00:00:00"/>
    <n v="20"/>
    <x v="1"/>
    <n v="2026"/>
    <s v="dr2141"/>
    <s v="British Bryological Society"/>
    <s v="dp74"/>
    <s v="Kindbergia praelonga"/>
    <s v="Common Feather-moss"/>
    <s v="species"/>
    <x v="0"/>
    <s v="Bryophyta"/>
    <s v="Bryopsida"/>
    <s v="Hypnales"/>
    <s v="Brachytheciaceae"/>
    <s v="Kindbergia"/>
    <s v="SE09353390"/>
    <s v="SE"/>
    <s v="SE03"/>
    <s v="SE03W"/>
    <s v="SE0933"/>
    <n v="0"/>
  </r>
  <r>
    <n v="50032498"/>
    <d v="2026-02-15T00:00:00"/>
    <n v="15"/>
    <x v="0"/>
    <n v="2026"/>
    <s v="dr2141"/>
    <s v="British Bryological Society"/>
    <s v="dp74"/>
    <s v="Encalypta streptocarpa"/>
    <s v="Spiral Extinguisher-moss"/>
    <s v="species"/>
    <x v="0"/>
    <s v="Bryophyta"/>
    <s v="Bryopsida"/>
    <s v="Encalyptales"/>
    <s v="Encalyptaceae"/>
    <s v="Encalypta"/>
    <s v="SK325820"/>
    <s v="SK"/>
    <s v="SK38"/>
    <s v="SK38G"/>
    <s v="SK3282"/>
    <n v="0"/>
  </r>
  <r>
    <n v="49512911"/>
    <d v="2026-02-04T00:00:00"/>
    <n v="4"/>
    <x v="0"/>
    <n v="2026"/>
    <s v="dr2141"/>
    <s v="British Bryological Society"/>
    <s v="dp74"/>
    <s v="Plagiothecium undulatum"/>
    <s v="Waved Silk-moss"/>
    <s v="species"/>
    <x v="0"/>
    <s v="Bryophyta"/>
    <s v="Bryopsida"/>
    <s v="Hypnales"/>
    <s v="Plagiotheciaceae"/>
    <s v="Plagiothecium"/>
    <s v="SD96632661"/>
    <s v="SD"/>
    <s v="SD92"/>
    <s v="SD92T"/>
    <s v="SD9626"/>
    <n v="0"/>
  </r>
  <r>
    <n v="49303225"/>
    <d v="2026-01-31T00:00:00"/>
    <n v="31"/>
    <x v="1"/>
    <n v="2026"/>
    <s v="dr2141"/>
    <s v="British Bryological Society"/>
    <s v="dp74"/>
    <s v="Sphagnum subnitens"/>
    <s v="Lustrous Bog-moss"/>
    <s v="species"/>
    <x v="0"/>
    <s v="Bryophyta"/>
    <s v="Sphagnopsida"/>
    <s v="Sphagnales"/>
    <s v="Sphagnaceae"/>
    <s v="Sphagnum"/>
    <s v="SE01911714"/>
    <s v="SE"/>
    <s v="SE01"/>
    <s v="SE01D"/>
    <s v="SE0117"/>
    <n v="3"/>
  </r>
  <r>
    <n v="49304004"/>
    <d v="2026-02-01T00:00:00"/>
    <n v="1"/>
    <x v="0"/>
    <n v="2026"/>
    <s v="dr2141"/>
    <s v="British Bryological Society"/>
    <s v="dp74"/>
    <s v="Hypnum cupressiforme"/>
    <s v="Cypress-leaved Plait-moss"/>
    <s v="species"/>
    <x v="0"/>
    <s v="Bryophyta"/>
    <s v="Bryopsida"/>
    <s v="Hypnales"/>
    <s v="Hypnaceae"/>
    <s v="Hypnum"/>
    <s v="SK28779034"/>
    <s v="SK"/>
    <s v="SK29"/>
    <s v="SK29V"/>
    <s v="SK2890"/>
    <n v="5"/>
  </r>
  <r>
    <n v="49724523"/>
    <d v="2026-02-04T00:00:00"/>
    <n v="4"/>
    <x v="0"/>
    <n v="2026"/>
    <s v="dr2141"/>
    <s v="British Bryological Society"/>
    <s v="dp74"/>
    <s v="Polytrichum formosum"/>
    <s v="Bank Haircap"/>
    <s v="species"/>
    <x v="0"/>
    <s v="Bryophyta"/>
    <s v="Polytrichopsida"/>
    <s v="Polytrichales"/>
    <s v="Polytrichaceae"/>
    <s v="Polytrichum"/>
    <s v="SD965267"/>
    <s v="SD"/>
    <s v="SD92"/>
    <s v="SD92T"/>
    <s v="SD9626"/>
    <n v="6"/>
  </r>
  <r>
    <n v="48675301"/>
    <d v="2026-01-16T00:00:00"/>
    <n v="16"/>
    <x v="1"/>
    <n v="2026"/>
    <s v="dr2141"/>
    <s v="British Bryological Society"/>
    <s v="dp74"/>
    <s v="Rhytidiadelphus squarrosus"/>
    <s v="Springy Turf-moss"/>
    <s v="species"/>
    <x v="0"/>
    <s v="Bryophyta"/>
    <s v="Bryopsida"/>
    <s v="Hypnales"/>
    <s v="Hylocomiaceae"/>
    <s v="Rhytidiadelphus"/>
    <s v="SE01682385"/>
    <s v="SE"/>
    <s v="SE02"/>
    <s v="SE02B"/>
    <s v="SE0123"/>
    <n v="7"/>
  </r>
  <r>
    <n v="49298823"/>
    <d v="2026-01-31T00:00:00"/>
    <n v="31"/>
    <x v="1"/>
    <n v="2026"/>
    <s v="dr2141"/>
    <s v="British Bryological Society"/>
    <s v="dp74"/>
    <s v="Aulacomnium palustre"/>
    <s v="Bog Groove-moss"/>
    <s v="species"/>
    <x v="0"/>
    <s v="Bryophyta"/>
    <s v="Bryopsida"/>
    <s v="Aulacomniales"/>
    <s v="Aulacomniaceae"/>
    <s v="Aulacomnium"/>
    <s v="SE01981718"/>
    <s v="SE"/>
    <s v="SE01"/>
    <s v="SE01D"/>
    <s v="SE0117"/>
    <n v="8"/>
  </r>
  <r>
    <n v="49888150"/>
    <d v="2026-02-11T00:00:00"/>
    <n v="11"/>
    <x v="0"/>
    <n v="2026"/>
    <s v="dr2141"/>
    <s v="British Bryological Society"/>
    <s v="dp74"/>
    <s v="Kindbergia praelonga"/>
    <s v="Common Feather-moss"/>
    <s v="species"/>
    <x v="0"/>
    <s v="Bryophyta"/>
    <s v="Bryopsida"/>
    <s v="Hypnales"/>
    <s v="Brachytheciaceae"/>
    <s v="Kindbergia"/>
    <s v="SE06572693"/>
    <s v="SE"/>
    <s v="SE02"/>
    <s v="SE02T"/>
    <s v="SE0626"/>
    <n v="9"/>
  </r>
  <r>
    <n v="49962485"/>
    <d v="2026-02-12T00:00:00"/>
    <n v="12"/>
    <x v="0"/>
    <n v="2026"/>
    <s v="dr2141"/>
    <s v="British Bryological Society"/>
    <s v="dp74"/>
    <s v="Polytrichum piliferum"/>
    <s v="Bristly Haircap"/>
    <s v="species"/>
    <x v="0"/>
    <s v="Bryophyta"/>
    <s v="Polytrichopsida"/>
    <s v="Polytrichales"/>
    <s v="Polytrichaceae"/>
    <s v="Polytrichum"/>
    <s v="SE13712070"/>
    <s v="SE"/>
    <s v="SE12"/>
    <s v="SE12F"/>
    <s v="SE1320"/>
    <n v="2"/>
  </r>
  <r>
    <n v="49249979"/>
    <d v="2026-01-29T00:00:00"/>
    <n v="29"/>
    <x v="1"/>
    <n v="2026"/>
    <s v="dr2141"/>
    <s v="British Bryological Society"/>
    <s v="dp74"/>
    <s v="Orthotrichum anomalum"/>
    <s v="Anomalous Bristle-moss"/>
    <s v="species"/>
    <x v="0"/>
    <s v="Bryophyta"/>
    <s v="Bryopsida"/>
    <s v="Orthotrichales"/>
    <s v="Orthotrichaceae"/>
    <s v="Orthotrichum"/>
    <s v="SK358877"/>
    <s v="SK"/>
    <s v="SK38"/>
    <s v="SK38N"/>
    <s v="SK3587"/>
    <n v="5"/>
  </r>
  <r>
    <n v="49888476"/>
    <d v="2026-02-09T00:00:00"/>
    <n v="9"/>
    <x v="0"/>
    <n v="2026"/>
    <s v="dr2141"/>
    <s v="British Bryological Society"/>
    <s v="dp74"/>
    <s v="Lophocolea semiteres"/>
    <s v="Southern Crestwort"/>
    <s v="species"/>
    <x v="0"/>
    <s v="Marchantiophyta"/>
    <s v="Jungermanniopsida"/>
    <s v="Jungermanniales"/>
    <s v="Lophocoleaceae"/>
    <s v="Lophocolea"/>
    <s v="SE10722683"/>
    <s v="SE"/>
    <s v="SE12"/>
    <s v="SE12D"/>
    <s v="SE1026"/>
    <n v="5"/>
  </r>
  <r>
    <n v="50032163"/>
    <d v="2026-02-15T00:00:00"/>
    <n v="15"/>
    <x v="0"/>
    <n v="2026"/>
    <s v="dr2141"/>
    <s v="British Bryological Society"/>
    <s v="dp74"/>
    <s v="Kindbergia praelonga"/>
    <s v="Common Feather-moss"/>
    <s v="species"/>
    <x v="0"/>
    <s v="Bryophyta"/>
    <s v="Bryopsida"/>
    <s v="Hypnales"/>
    <s v="Brachytheciaceae"/>
    <s v="Kindbergia"/>
    <s v="SK323817"/>
    <s v="SK"/>
    <s v="SK38"/>
    <s v="SK38F"/>
    <s v="SK3281"/>
    <n v="0"/>
  </r>
  <r>
    <n v="48433119"/>
    <d v="2026-01-02T00:00:00"/>
    <n v="2"/>
    <x v="1"/>
    <n v="2026"/>
    <s v="dr2141"/>
    <s v="British Bryological Society"/>
    <s v="dp74"/>
    <s v="Tortula cernua"/>
    <s v="Flamingo-moss"/>
    <s v="species"/>
    <x v="0"/>
    <s v="Bryophyta"/>
    <s v="Bryopsida"/>
    <s v="Dicranales"/>
    <s v="Pottiaceae"/>
    <s v="Tortula"/>
    <s v="SE53800102"/>
    <s v="SE"/>
    <s v="SE50"/>
    <s v="SE50F"/>
    <s v="SE5301"/>
    <n v="0"/>
  </r>
  <r>
    <n v="49961832"/>
    <d v="2026-02-12T00:00:00"/>
    <n v="12"/>
    <x v="0"/>
    <n v="2026"/>
    <s v="dr2141"/>
    <s v="British Bryological Society"/>
    <s v="dp74"/>
    <s v="Bryum capillare"/>
    <s v="Capillary Thread-moss"/>
    <s v="species"/>
    <x v="0"/>
    <s v="Bryophyta"/>
    <s v="Bryopsida"/>
    <s v="Bryales"/>
    <s v="Bryaceae"/>
    <s v="Bryum"/>
    <s v="SK347873"/>
    <s v="SK"/>
    <s v="SK38"/>
    <s v="SK38N"/>
    <s v="SK3487"/>
    <n v="5"/>
  </r>
  <r>
    <n v="50026505"/>
    <d v="2026-02-13T00:00:00"/>
    <n v="13"/>
    <x v="0"/>
    <n v="2026"/>
    <s v="dr2141"/>
    <s v="British Bryological Society"/>
    <s v="dp74"/>
    <s v="Orthotrichum anomalum"/>
    <s v="Anomalous Bristle-moss"/>
    <s v="species"/>
    <x v="0"/>
    <s v="Bryophyta"/>
    <s v="Bryopsida"/>
    <s v="Orthotrichales"/>
    <s v="Orthotrichaceae"/>
    <s v="Orthotrichum"/>
    <s v="SK352850"/>
    <s v="SK"/>
    <s v="SK38"/>
    <s v="SK38M"/>
    <s v="SK3585"/>
    <n v="4"/>
  </r>
  <r>
    <n v="48471820"/>
    <d v="2026-01-02T00:00:00"/>
    <n v="2"/>
    <x v="1"/>
    <n v="2026"/>
    <s v="dr2141"/>
    <s v="British Bryological Society"/>
    <s v="dp74"/>
    <s v="Bryum intermedium"/>
    <s v="Many-seasoned Thread-moss"/>
    <s v="species"/>
    <x v="0"/>
    <s v="Bryophyta"/>
    <s v="Bryopsida"/>
    <s v="Bryales"/>
    <s v="Bryaceae"/>
    <s v="Bryum"/>
    <s v="SE53790101"/>
    <s v="SE"/>
    <s v="SE50"/>
    <s v="SE50F"/>
    <s v="SE5301"/>
    <n v="6"/>
  </r>
  <r>
    <n v="49724495"/>
    <d v="2026-01-28T00:00:00"/>
    <n v="28"/>
    <x v="1"/>
    <n v="2026"/>
    <s v="dr2141"/>
    <s v="British Bryological Society"/>
    <s v="dp74"/>
    <s v="Thuidium tamariscinum"/>
    <s v="Common Tamarisk-moss"/>
    <s v="species"/>
    <x v="0"/>
    <s v="Bryophyta"/>
    <s v="Bryopsida"/>
    <s v="Hypnales"/>
    <s v="Thuidiaceae"/>
    <s v="Thuidium"/>
    <s v="SE01092069"/>
    <s v="SE"/>
    <s v="SE02"/>
    <s v="SE02A"/>
    <s v="SE0120"/>
    <n v="2"/>
  </r>
  <r>
    <n v="49512957"/>
    <d v="2026-02-04T00:00:00"/>
    <n v="4"/>
    <x v="0"/>
    <n v="2026"/>
    <s v="dr2141"/>
    <s v="British Bryological Society"/>
    <s v="dp74"/>
    <s v="Bryum capillare"/>
    <s v="Capillary Thread-moss"/>
    <s v="species"/>
    <x v="0"/>
    <s v="Bryophyta"/>
    <s v="Bryopsida"/>
    <s v="Bryales"/>
    <s v="Bryaceae"/>
    <s v="Bryum"/>
    <s v="SK355880"/>
    <s v="SK"/>
    <s v="SK38"/>
    <s v="SK38P"/>
    <s v="SK3588"/>
    <n v="7"/>
  </r>
  <r>
    <n v="49517750"/>
    <d v="2026-02-04T00:00:00"/>
    <n v="4"/>
    <x v="0"/>
    <n v="2026"/>
    <s v="dr2141"/>
    <s v="British Bryological Society"/>
    <s v="dp74"/>
    <s v="Scapania undulata"/>
    <s v="Water Earwort"/>
    <s v="species"/>
    <x v="0"/>
    <s v="Marchantiophyta"/>
    <s v="Jungermanniopsida"/>
    <s v="Jungermanniales"/>
    <s v="Scapaniaceae"/>
    <s v="Scapania"/>
    <s v="SD96422674"/>
    <s v="SD"/>
    <s v="SD92"/>
    <s v="SD92T"/>
    <s v="SD9626"/>
    <n v="6"/>
  </r>
  <r>
    <n v="49516326"/>
    <d v="2026-01-16T00:00:00"/>
    <n v="16"/>
    <x v="1"/>
    <n v="2026"/>
    <s v="dr2141"/>
    <s v="British Bryological Society"/>
    <s v="dp74"/>
    <s v="Hypnum jutlandicum"/>
    <s v="Heath Plait-moss"/>
    <s v="species"/>
    <x v="0"/>
    <s v="Bryophyta"/>
    <s v="Bryopsida"/>
    <s v="Hypnales"/>
    <s v="Hypnaceae"/>
    <s v="Hypnum"/>
    <s v="SD92795240"/>
    <s v="SD"/>
    <s v="SD95"/>
    <s v="SD95G"/>
    <s v="SD9252"/>
    <n v="2"/>
  </r>
  <r>
    <n v="50347508"/>
    <d v="2026-02-24T00:00:00"/>
    <n v="24"/>
    <x v="0"/>
    <n v="2026"/>
    <s v="dr736"/>
    <s v="Biological Records Centre"/>
    <s v="dp77"/>
    <s v="Harmonia axyridis"/>
    <s v="Harlequin Ladybird"/>
    <s v="species"/>
    <x v="1"/>
    <s v="Arthropoda"/>
    <s v="Insecta"/>
    <s v="Coleoptera"/>
    <s v="Coccinellidae"/>
    <s v="Harmonia"/>
    <s v="SK477936"/>
    <s v="SK"/>
    <s v="SK49"/>
    <s v="SK49R"/>
    <s v="SK4793"/>
    <n v="1"/>
  </r>
  <r>
    <n v="49250017"/>
    <d v="2026-01-29T00:00:00"/>
    <n v="29"/>
    <x v="1"/>
    <n v="2026"/>
    <s v="dr2141"/>
    <s v="British Bryological Society"/>
    <s v="dp74"/>
    <s v="Grimmia pulvinata"/>
    <s v="Grey-cushioned Grimmia"/>
    <s v="species"/>
    <x v="0"/>
    <s v="Bryophyta"/>
    <s v="Bryopsida"/>
    <s v="Grimmiales"/>
    <s v="Grimmiaceae"/>
    <s v="Grimmia"/>
    <s v="SK361880"/>
    <s v="SK"/>
    <s v="SK38"/>
    <s v="SK38U"/>
    <s v="SK3688"/>
    <n v="0"/>
  </r>
  <r>
    <n v="50032144"/>
    <d v="2026-02-15T00:00:00"/>
    <n v="15"/>
    <x v="0"/>
    <n v="2026"/>
    <s v="dr2141"/>
    <s v="British Bryological Society"/>
    <s v="dp74"/>
    <s v="Radula complanata"/>
    <s v="Even Scalewort"/>
    <s v="species"/>
    <x v="0"/>
    <s v="Marchantiophyta"/>
    <s v="Jungermanniopsida"/>
    <s v="Porellales"/>
    <s v="Radulaceae"/>
    <s v="Radula"/>
    <s v="SK322818"/>
    <s v="SK"/>
    <s v="SK38"/>
    <s v="SK38F"/>
    <s v="SK3281"/>
    <n v="0"/>
  </r>
  <r>
    <n v="50023642"/>
    <d v="2026-02-14T00:00:00"/>
    <n v="14"/>
    <x v="0"/>
    <n v="2026"/>
    <s v="dr736"/>
    <s v="Biological Records Centre"/>
    <s v="dp77"/>
    <s v="Coccinella septempunctata"/>
    <s v="7-spot Ladybird"/>
    <s v="species"/>
    <x v="1"/>
    <s v="Arthropoda"/>
    <s v="Insecta"/>
    <s v="Coleoptera"/>
    <s v="Coccinellidae"/>
    <s v="Coccinella"/>
    <s v="SE562045"/>
    <s v="SE"/>
    <s v="SE50"/>
    <s v="SE50S"/>
    <s v="SE5604"/>
    <n v="5"/>
  </r>
  <r>
    <n v="49620073"/>
    <d v="2026-02-06T00:00:00"/>
    <n v="6"/>
    <x v="0"/>
    <n v="2026"/>
    <s v="dr2141"/>
    <s v="British Bryological Society"/>
    <s v="dp74"/>
    <s v="Kindbergia praelonga"/>
    <s v="Common Feather-moss"/>
    <s v="species"/>
    <x v="0"/>
    <s v="Bryophyta"/>
    <s v="Bryopsida"/>
    <s v="Hypnales"/>
    <s v="Brachytheciaceae"/>
    <s v="Kindbergia"/>
    <s v="SE08142012"/>
    <s v="SE"/>
    <s v="SE02"/>
    <s v="SE02V"/>
    <s v="SE0820"/>
    <n v="0"/>
  </r>
  <r>
    <n v="48667258"/>
    <d v="2026-01-14T00:00:00"/>
    <n v="14"/>
    <x v="1"/>
    <n v="2026"/>
    <s v="dr2141"/>
    <s v="British Bryological Society"/>
    <s v="dp74"/>
    <s v="Hylocomium splendens"/>
    <s v="Glittering Wood-moss"/>
    <s v="species"/>
    <x v="0"/>
    <s v="Bryophyta"/>
    <s v="Bryopsida"/>
    <s v="Hypnales"/>
    <s v="Hylocomiaceae"/>
    <s v="Hylocomium"/>
    <s v="SD913282"/>
    <s v="SD"/>
    <s v="SD92"/>
    <s v="SD92E"/>
    <s v="SD9128"/>
    <n v="9"/>
  </r>
  <r>
    <n v="49724558"/>
    <d v="2026-02-09T00:00:00"/>
    <n v="9"/>
    <x v="0"/>
    <n v="2026"/>
    <s v="dr2141"/>
    <s v="British Bryological Society"/>
    <s v="dp74"/>
    <s v="Polytrichum piliferum"/>
    <s v="Bristly Haircap"/>
    <s v="species"/>
    <x v="0"/>
    <s v="Bryophyta"/>
    <s v="Polytrichopsida"/>
    <s v="Polytrichales"/>
    <s v="Polytrichaceae"/>
    <s v="Polytrichum"/>
    <s v="SE10812659"/>
    <s v="SE"/>
    <s v="SE12"/>
    <s v="SE12D"/>
    <s v="SE1026"/>
    <n v="6"/>
  </r>
  <r>
    <n v="48646424"/>
    <d v="2026-01-13T00:00:00"/>
    <n v="13"/>
    <x v="1"/>
    <n v="2026"/>
    <s v="dr2141"/>
    <s v="British Bryological Society"/>
    <s v="dp74"/>
    <s v="Pseudoscleropodium purum"/>
    <s v="Neat Feather-moss"/>
    <s v="species"/>
    <x v="0"/>
    <s v="Bryophyta"/>
    <s v="Bryopsida"/>
    <s v="Hypnales"/>
    <s v="Brachytheciaceae"/>
    <s v="Pseudoscleropodium"/>
    <s v="SE055252"/>
    <s v="SE"/>
    <s v="SE02"/>
    <s v="SE02M"/>
    <s v="SE0525"/>
    <n v="5"/>
  </r>
  <r>
    <n v="49303870"/>
    <d v="2026-02-01T00:00:00"/>
    <n v="1"/>
    <x v="0"/>
    <n v="2026"/>
    <s v="dr2141"/>
    <s v="British Bryological Society"/>
    <s v="dp74"/>
    <s v="Atrichum undulatum"/>
    <s v="Common Smoothcap"/>
    <s v="species"/>
    <x v="0"/>
    <s v="Bryophyta"/>
    <s v="Polytrichopsida"/>
    <s v="Polytrichales"/>
    <s v="Polytrichaceae"/>
    <s v="Atrichum"/>
    <s v="SK292901"/>
    <s v="SK"/>
    <s v="SK29"/>
    <s v="SK29V"/>
    <s v="SK2990"/>
    <n v="1"/>
  </r>
  <r>
    <n v="49962498"/>
    <d v="2026-02-12T00:00:00"/>
    <n v="12"/>
    <x v="0"/>
    <n v="2026"/>
    <s v="dr1215"/>
    <s v="Terrestrial Heteroptera Recording Scheme (Shieldbugs &amp; allied species)"/>
    <s v="dp108"/>
    <s v="Leptoglossus occidentalis"/>
    <s v="Western Conifer Seed Bug"/>
    <s v="species"/>
    <x v="1"/>
    <s v="Arthropoda"/>
    <s v="Insecta"/>
    <s v="Hemiptera"/>
    <s v="Coreidae"/>
    <s v="Leptoglossus"/>
    <s v="SE442169"/>
    <s v="SE"/>
    <s v="SE41"/>
    <s v="SE41N"/>
    <s v="SE4416"/>
    <n v="0"/>
  </r>
  <r>
    <n v="49724525"/>
    <d v="2026-02-04T00:00:00"/>
    <n v="4"/>
    <x v="0"/>
    <n v="2026"/>
    <s v="dr2141"/>
    <s v="British Bryological Society"/>
    <s v="dp74"/>
    <s v="Polytrichum juniperinum"/>
    <s v="Juniper Haircap"/>
    <s v="species"/>
    <x v="0"/>
    <s v="Bryophyta"/>
    <s v="Polytrichopsida"/>
    <s v="Polytrichales"/>
    <s v="Polytrichaceae"/>
    <s v="Polytrichum"/>
    <s v="SD965267"/>
    <s v="SD"/>
    <s v="SD92"/>
    <s v="SD92T"/>
    <s v="SD9626"/>
    <n v="8"/>
  </r>
  <r>
    <n v="49381977"/>
    <d v="2026-02-02T00:00:00"/>
    <n v="2"/>
    <x v="0"/>
    <n v="2026"/>
    <s v="dr2141"/>
    <s v="British Bryological Society"/>
    <s v="dp74"/>
    <s v="Kindbergia praelonga"/>
    <s v="Common Feather-moss"/>
    <s v="species"/>
    <x v="0"/>
    <s v="Bryophyta"/>
    <s v="Bryopsida"/>
    <s v="Hypnales"/>
    <s v="Brachytheciaceae"/>
    <s v="Kindbergia"/>
    <s v="SE20302931"/>
    <s v="SE"/>
    <s v="SE22"/>
    <s v="SE22E"/>
    <s v="SE2029"/>
    <n v="9"/>
  </r>
  <r>
    <n v="49888483"/>
    <d v="2026-02-11T00:00:00"/>
    <n v="11"/>
    <x v="0"/>
    <n v="2026"/>
    <s v="dr2141"/>
    <s v="British Bryological Society"/>
    <s v="dp74"/>
    <s v="Pseudoscleropodium purum"/>
    <s v="Neat Feather-moss"/>
    <s v="species"/>
    <x v="0"/>
    <s v="Bryophyta"/>
    <s v="Bryopsida"/>
    <s v="Hypnales"/>
    <s v="Brachytheciaceae"/>
    <s v="Pseudoscleropodium"/>
    <s v="SE08522594"/>
    <s v="SE"/>
    <s v="SE02"/>
    <s v="SE02X"/>
    <s v="SE0825"/>
    <n v="0"/>
  </r>
  <r>
    <n v="49298812"/>
    <d v="2026-01-31T00:00:00"/>
    <n v="31"/>
    <x v="1"/>
    <n v="2026"/>
    <s v="dr2141"/>
    <s v="British Bryological Society"/>
    <s v="dp74"/>
    <s v="Hylocomiadelphus triquetrus"/>
    <s v="Big Shaggy-moss"/>
    <s v="species"/>
    <x v="0"/>
    <s v="Bryophyta"/>
    <s v="Bryopsida"/>
    <s v="Hypnales"/>
    <s v="Hylocomiaceae"/>
    <s v="Hylocomiadelphus"/>
    <s v="SD99761731"/>
    <s v="SD"/>
    <s v="SD91"/>
    <s v="SD91Y"/>
    <s v="SD9917"/>
    <n v="5"/>
  </r>
  <r>
    <n v="49298811"/>
    <d v="2026-01-31T00:00:00"/>
    <n v="31"/>
    <x v="1"/>
    <n v="2026"/>
    <s v="dr2141"/>
    <s v="British Bryological Society"/>
    <s v="dp74"/>
    <s v="Pleurozium schreberi"/>
    <s v="Red-stemmed Feather-moss"/>
    <s v="species"/>
    <x v="0"/>
    <s v="Bryophyta"/>
    <s v="Bryopsida"/>
    <s v="Hypnales"/>
    <s v="Hylocomiaceae"/>
    <s v="Pleurozium"/>
    <s v="SD99781736"/>
    <s v="SD"/>
    <s v="SD91"/>
    <s v="SD91Y"/>
    <s v="SD9917"/>
    <n v="2"/>
  </r>
  <r>
    <n v="48675299"/>
    <d v="2026-01-16T00:00:00"/>
    <n v="16"/>
    <x v="1"/>
    <n v="2026"/>
    <s v="dr2141"/>
    <s v="British Bryological Society"/>
    <s v="dp74"/>
    <s v="Pseudoscleropodium purum"/>
    <s v="Neat Feather-moss"/>
    <s v="species"/>
    <x v="0"/>
    <s v="Bryophyta"/>
    <s v="Bryopsida"/>
    <s v="Hypnales"/>
    <s v="Brachytheciaceae"/>
    <s v="Pseudoscleropodium"/>
    <s v="SE01772384"/>
    <s v="SE"/>
    <s v="SE02"/>
    <s v="SE02B"/>
    <s v="SE0123"/>
    <n v="5"/>
  </r>
  <r>
    <n v="49648315"/>
    <d v="2026-02-07T00:00:00"/>
    <n v="7"/>
    <x v="0"/>
    <n v="2026"/>
    <s v="dr2141"/>
    <s v="British Bryological Society"/>
    <s v="dp74"/>
    <s v="Grimmia pulvinata"/>
    <s v="Grey-cushioned Grimmia"/>
    <s v="species"/>
    <x v="0"/>
    <s v="Bryophyta"/>
    <s v="Bryopsida"/>
    <s v="Grimmiales"/>
    <s v="Grimmiaceae"/>
    <s v="Grimmia"/>
    <s v="SK33848766"/>
    <s v="SK"/>
    <s v="SK38"/>
    <s v="SK38I"/>
    <s v="SK3387"/>
    <n v="4"/>
  </r>
  <r>
    <n v="48903695"/>
    <d v="2026-01-26T00:00:00"/>
    <n v="26"/>
    <x v="1"/>
    <n v="2026"/>
    <s v="dr2141"/>
    <s v="British Bryological Society"/>
    <s v="dp74"/>
    <s v="Rhynchostegium confertum"/>
    <s v="Clustered Feather-moss"/>
    <s v="species"/>
    <x v="0"/>
    <s v="Bryophyta"/>
    <s v="Bryopsida"/>
    <s v="Hypnales"/>
    <s v="Brachytheciaceae"/>
    <s v="Rhynchostegium"/>
    <s v="SE089243"/>
    <s v="SE"/>
    <s v="SE02"/>
    <s v="SE02X"/>
    <s v="SE0824"/>
    <n v="6"/>
  </r>
  <r>
    <n v="48748041"/>
    <d v="2026-01-23T00:00:00"/>
    <n v="23"/>
    <x v="1"/>
    <n v="2026"/>
    <s v="dr736"/>
    <s v="Biological Records Centre"/>
    <s v="dp77"/>
    <s v="Harmonia axyridis"/>
    <s v="Harlequin Ladybird"/>
    <s v="species"/>
    <x v="1"/>
    <s v="Arthropoda"/>
    <s v="Insecta"/>
    <s v="Coleoptera"/>
    <s v="Coccinellidae"/>
    <s v="Harmonia"/>
    <s v="SE46052237"/>
    <s v="SE"/>
    <s v="SE42"/>
    <s v="SE42R"/>
    <s v="SE4622"/>
    <n v="9"/>
  </r>
  <r>
    <n v="48746940"/>
    <d v="2026-01-22T00:00:00"/>
    <n v="22"/>
    <x v="1"/>
    <n v="2026"/>
    <s v="dr671"/>
    <s v="Mammal Society"/>
    <s v="dp8"/>
    <s v="Capreolus capreolus"/>
    <s v="Roe Deer"/>
    <s v="species"/>
    <x v="1"/>
    <s v="Chordata"/>
    <s v="Mammalia"/>
    <s v="Artiodactyla"/>
    <s v="Cervidae"/>
    <s v="Capreolus"/>
    <s v="SE146252"/>
    <s v="SE"/>
    <s v="SE12"/>
    <s v="SE12M"/>
    <s v="SE1425"/>
    <n v="0"/>
  </r>
  <r>
    <n v="50326223"/>
    <d v="2026-02-22T00:00:00"/>
    <n v="22"/>
    <x v="0"/>
    <n v="2026"/>
    <s v="dr736"/>
    <s v="Biological Records Centre"/>
    <s v="dp77"/>
    <s v="Harmonia axyridis"/>
    <s v="Harlequin Ladybird"/>
    <s v="species"/>
    <x v="1"/>
    <s v="Arthropoda"/>
    <s v="Insecta"/>
    <s v="Coleoptera"/>
    <s v="Coccinellidae"/>
    <s v="Harmonia"/>
    <s v="SD987280"/>
    <s v="SD"/>
    <s v="SD92"/>
    <s v="SD92Z"/>
    <s v="SD9828"/>
    <n v="2"/>
  </r>
  <r>
    <n v="50356991"/>
    <d v="2026-02-24T00:00:00"/>
    <n v="24"/>
    <x v="0"/>
    <n v="2026"/>
    <s v="dr3369"/>
    <s v="Terrestrial Heteroptera Recording Scheme (Plantbugs and allied species)"/>
    <s v="dp292"/>
    <s v="Gastrodes grossipes"/>
    <s v="Pine Cone Bug"/>
    <s v="species"/>
    <x v="1"/>
    <s v="Arthropoda"/>
    <s v="Insecta"/>
    <s v="Hemiptera"/>
    <s v="Lygaeidae"/>
    <s v="Gastrodes"/>
    <s v="SE00260404"/>
    <s v="SE"/>
    <s v="SE00"/>
    <s v="SE00C"/>
    <s v="SE0004"/>
    <n v="5"/>
  </r>
  <r>
    <n v="48681730"/>
    <d v="2026-01-17T00:00:00"/>
    <n v="17"/>
    <x v="1"/>
    <n v="2026"/>
    <s v="dr2141"/>
    <s v="British Bryological Society"/>
    <s v="dp74"/>
    <s v="Kindbergia praelonga"/>
    <s v="Common Feather-moss"/>
    <s v="species"/>
    <x v="0"/>
    <s v="Bryophyta"/>
    <s v="Bryopsida"/>
    <s v="Hypnales"/>
    <s v="Brachytheciaceae"/>
    <s v="Kindbergia"/>
    <s v="SE16722932"/>
    <s v="SE"/>
    <s v="SE12"/>
    <s v="SE12U"/>
    <s v="SE1629"/>
    <n v="7"/>
  </r>
  <r>
    <n v="49305141"/>
    <d v="2026-01-31T00:00:00"/>
    <n v="31"/>
    <x v="1"/>
    <n v="2026"/>
    <s v="dr2141"/>
    <s v="British Bryological Society"/>
    <s v="dp74"/>
    <s v="Sphagnum fimbriatum"/>
    <s v="Fringed Bog-moss"/>
    <s v="species"/>
    <x v="0"/>
    <s v="Bryophyta"/>
    <s v="Sphagnopsida"/>
    <s v="Sphagnales"/>
    <s v="Sphagnaceae"/>
    <s v="Sphagnum"/>
    <s v="SE01951717"/>
    <s v="SE"/>
    <s v="SE01"/>
    <s v="SE01D"/>
    <s v="SE0117"/>
    <n v="9"/>
  </r>
  <r>
    <n v="49410292"/>
    <d v="2026-02-03T00:00:00"/>
    <n v="3"/>
    <x v="0"/>
    <n v="2026"/>
    <s v="dr2141"/>
    <s v="British Bryological Society"/>
    <s v="dp74"/>
    <s v="Thuidium tamariscinum"/>
    <s v="Common Tamarisk-moss"/>
    <s v="species"/>
    <x v="0"/>
    <s v="Bryophyta"/>
    <s v="Bryopsida"/>
    <s v="Hypnales"/>
    <s v="Thuidiaceae"/>
    <s v="Thuidium"/>
    <s v="SE11383492"/>
    <s v="SE"/>
    <s v="SE13"/>
    <s v="SE13C"/>
    <s v="SE1134"/>
    <n v="3"/>
  </r>
  <r>
    <n v="49724510"/>
    <d v="2026-02-03T00:00:00"/>
    <n v="3"/>
    <x v="0"/>
    <n v="2026"/>
    <s v="dr2141"/>
    <s v="British Bryological Society"/>
    <s v="dp74"/>
    <s v="Mnium hornum"/>
    <s v="Swan's-neck Thyme-moss"/>
    <s v="species"/>
    <x v="0"/>
    <s v="Bryophyta"/>
    <s v="Bryopsida"/>
    <s v="Bryales"/>
    <s v="Mniaceae"/>
    <s v="Mnium"/>
    <s v="SE11623473"/>
    <s v="SE"/>
    <s v="SE13"/>
    <s v="SE13C"/>
    <s v="SE1134"/>
    <n v="2"/>
  </r>
  <r>
    <n v="49513092"/>
    <d v="2026-02-04T00:00:00"/>
    <n v="4"/>
    <x v="0"/>
    <n v="2026"/>
    <s v="dr2141"/>
    <s v="British Bryological Society"/>
    <s v="dp74"/>
    <s v="Marchantia polymorpha"/>
    <s v="Common Liverwort"/>
    <s v="species"/>
    <x v="0"/>
    <s v="Marchantiophyta"/>
    <s v="Marchantiopsida"/>
    <s v="Marchantiales"/>
    <s v="Marchantiaceae"/>
    <s v="Marchantia"/>
    <s v="SK356871"/>
    <s v="SK"/>
    <s v="SK38"/>
    <s v="SK38N"/>
    <s v="SK3587"/>
    <n v="6"/>
  </r>
  <r>
    <n v="49724498"/>
    <d v="2026-01-28T00:00:00"/>
    <n v="28"/>
    <x v="1"/>
    <n v="2026"/>
    <s v="dr2141"/>
    <s v="British Bryological Society"/>
    <s v="dp74"/>
    <s v="Thuidium tamariscinum"/>
    <s v="Common Tamarisk-moss"/>
    <s v="species"/>
    <x v="0"/>
    <s v="Bryophyta"/>
    <s v="Bryopsida"/>
    <s v="Hypnales"/>
    <s v="Thuidiaceae"/>
    <s v="Thuidium"/>
    <s v="SE01492008"/>
    <s v="SE"/>
    <s v="SE02"/>
    <s v="SE02A"/>
    <s v="SE0120"/>
    <n v="5"/>
  </r>
  <r>
    <n v="49889538"/>
    <d v="2026-02-11T00:00:00"/>
    <n v="11"/>
    <x v="0"/>
    <n v="2026"/>
    <s v="dr2141"/>
    <s v="British Bryological Society"/>
    <s v="dp74"/>
    <s v="Grimmia pulvinata"/>
    <s v="Grey-cushioned Grimmia"/>
    <s v="species"/>
    <x v="0"/>
    <s v="Bryophyta"/>
    <s v="Bryopsida"/>
    <s v="Grimmiales"/>
    <s v="Grimmiaceae"/>
    <s v="Grimmia"/>
    <s v="SK362877"/>
    <s v="SK"/>
    <s v="SK38"/>
    <s v="SK38T"/>
    <s v="SK3687"/>
    <n v="8"/>
  </r>
  <r>
    <n v="48912824"/>
    <d v="2026-01-26T00:00:00"/>
    <n v="26"/>
    <x v="1"/>
    <n v="2026"/>
    <s v="dr2141"/>
    <s v="British Bryological Society"/>
    <s v="dp74"/>
    <s v="Mnium hornum"/>
    <s v="Swan's-neck Thyme-moss"/>
    <s v="species"/>
    <x v="0"/>
    <s v="Bryophyta"/>
    <s v="Bryopsida"/>
    <s v="Bryales"/>
    <s v="Mniaceae"/>
    <s v="Mnium"/>
    <s v="SE07352132"/>
    <s v="SE"/>
    <s v="SE02"/>
    <s v="SE02Q"/>
    <s v="SE0721"/>
    <n v="9"/>
  </r>
  <r>
    <n v="49250013"/>
    <d v="2026-01-29T00:00:00"/>
    <n v="29"/>
    <x v="1"/>
    <n v="2026"/>
    <s v="dr2141"/>
    <s v="British Bryological Society"/>
    <s v="dp74"/>
    <s v="Tortula muralis"/>
    <s v="Wall Screw-moss"/>
    <s v="species"/>
    <x v="0"/>
    <s v="Bryophyta"/>
    <s v="Bryopsida"/>
    <s v="Dicranales"/>
    <s v="Pottiaceae"/>
    <s v="Tortula"/>
    <s v="SK358877"/>
    <s v="SK"/>
    <s v="SK38"/>
    <s v="SK38N"/>
    <s v="SK3587"/>
    <n v="0"/>
  </r>
  <r>
    <n v="48790441"/>
    <d v="2026-01-24T00:00:00"/>
    <n v="24"/>
    <x v="1"/>
    <n v="2026"/>
    <s v="dr1215"/>
    <s v="Terrestrial Heteroptera Recording Scheme (Shieldbugs &amp; allied species)"/>
    <s v="dp108"/>
    <s v="Acanthosoma haemorrhoidale"/>
    <s v="Hawthorn Shieldbug"/>
    <s v="species"/>
    <x v="1"/>
    <s v="Arthropoda"/>
    <s v="Insecta"/>
    <s v="Hemiptera"/>
    <s v="Acanthosomatidae"/>
    <s v="Acanthosoma"/>
    <s v="SK321859"/>
    <s v="SK"/>
    <s v="SK38"/>
    <s v="SK38H"/>
    <s v="SK3285"/>
    <n v="1"/>
  </r>
  <r>
    <n v="50032494"/>
    <d v="2026-02-15T00:00:00"/>
    <n v="15"/>
    <x v="0"/>
    <n v="2026"/>
    <s v="dr2141"/>
    <s v="British Bryological Society"/>
    <s v="dp74"/>
    <s v="Orthotrichum anomalum"/>
    <s v="Anomalous Bristle-moss"/>
    <s v="species"/>
    <x v="0"/>
    <s v="Bryophyta"/>
    <s v="Bryopsida"/>
    <s v="Orthotrichales"/>
    <s v="Orthotrichaceae"/>
    <s v="Orthotrichum"/>
    <s v="SK325819"/>
    <s v="SK"/>
    <s v="SK38"/>
    <s v="SK38F"/>
    <s v="SK3281"/>
    <n v="0"/>
  </r>
  <r>
    <n v="49961957"/>
    <d v="2026-02-12T00:00:00"/>
    <n v="12"/>
    <x v="0"/>
    <n v="2026"/>
    <s v="dr2141"/>
    <s v="British Bryological Society"/>
    <s v="dp74"/>
    <s v="Hypnum cupressiforme"/>
    <s v="Cypress-leaved Plait-moss"/>
    <s v="species"/>
    <x v="0"/>
    <s v="Bryophyta"/>
    <s v="Bryopsida"/>
    <s v="Hypnales"/>
    <s v="Hypnaceae"/>
    <s v="Hypnum"/>
    <s v="SK347873"/>
    <s v="SK"/>
    <s v="SK38"/>
    <s v="SK38N"/>
    <s v="SK3487"/>
    <n v="1"/>
  </r>
  <r>
    <n v="49961929"/>
    <d v="2026-02-12T00:00:00"/>
    <n v="12"/>
    <x v="0"/>
    <n v="2026"/>
    <s v="dr2141"/>
    <s v="British Bryological Society"/>
    <s v="dp74"/>
    <s v="Homalothecium sericeum"/>
    <s v="Silky Wall Feather-moss"/>
    <s v="species"/>
    <x v="0"/>
    <s v="Bryophyta"/>
    <s v="Bryopsida"/>
    <s v="Hypnales"/>
    <s v="Brachytheciaceae"/>
    <s v="Homalothecium"/>
    <s v="SK346873"/>
    <s v="SK"/>
    <s v="SK38"/>
    <s v="SK38N"/>
    <s v="SK3487"/>
    <n v="1"/>
  </r>
  <r>
    <n v="50032452"/>
    <d v="2026-02-15T00:00:00"/>
    <n v="15"/>
    <x v="0"/>
    <n v="2026"/>
    <s v="dr2141"/>
    <s v="British Bryological Society"/>
    <s v="dp74"/>
    <s v="Brachythecium rutabulum"/>
    <s v="Rough-stalked Feather-moss"/>
    <s v="species"/>
    <x v="0"/>
    <s v="Bryophyta"/>
    <s v="Bryopsida"/>
    <s v="Hypnales"/>
    <s v="Brachytheciaceae"/>
    <s v="Brachythecium"/>
    <s v="SK324818"/>
    <s v="SK"/>
    <s v="SK38"/>
    <s v="SK38F"/>
    <s v="SK3281"/>
    <n v="1"/>
  </r>
  <r>
    <n v="50032419"/>
    <d v="2026-02-15T00:00:00"/>
    <n v="15"/>
    <x v="0"/>
    <n v="2026"/>
    <s v="dr2141"/>
    <s v="British Bryological Society"/>
    <s v="dp74"/>
    <s v="Grimmia pulvinata"/>
    <s v="Grey-cushioned Grimmia"/>
    <s v="species"/>
    <x v="0"/>
    <s v="Bryophyta"/>
    <s v="Bryopsida"/>
    <s v="Grimmiales"/>
    <s v="Grimmiaceae"/>
    <s v="Grimmia"/>
    <s v="SK324817"/>
    <s v="SK"/>
    <s v="SK38"/>
    <s v="SK38F"/>
    <s v="SK3281"/>
    <n v="0"/>
  </r>
  <r>
    <n v="49395328"/>
    <d v="2026-01-31T00:00:00"/>
    <n v="31"/>
    <x v="1"/>
    <n v="2026"/>
    <s v="dr2141"/>
    <s v="British Bryological Society"/>
    <s v="dp74"/>
    <s v="Thuidium tamariscinum"/>
    <s v="Common Tamarisk-moss"/>
    <s v="species"/>
    <x v="0"/>
    <s v="Bryophyta"/>
    <s v="Bryopsida"/>
    <s v="Hypnales"/>
    <s v="Thuidiaceae"/>
    <s v="Thuidium"/>
    <s v="SE035378"/>
    <s v="SE"/>
    <s v="SE03"/>
    <s v="SE03I"/>
    <s v="SE0337"/>
    <n v="2"/>
  </r>
  <r>
    <n v="49671642"/>
    <d v="2026-02-09T00:00:00"/>
    <n v="9"/>
    <x v="0"/>
    <n v="2026"/>
    <s v="dr2141"/>
    <s v="British Bryological Society"/>
    <s v="dp74"/>
    <s v="Rhytidiadelphus squarrosus"/>
    <s v="Springy Turf-moss"/>
    <s v="species"/>
    <x v="0"/>
    <s v="Bryophyta"/>
    <s v="Bryopsida"/>
    <s v="Hypnales"/>
    <s v="Hylocomiaceae"/>
    <s v="Rhytidiadelphus"/>
    <s v="SE10792659"/>
    <s v="SE"/>
    <s v="SE12"/>
    <s v="SE12D"/>
    <s v="SE1026"/>
    <n v="3"/>
  </r>
  <r>
    <n v="50031443"/>
    <d v="2026-02-14T00:00:00"/>
    <n v="14"/>
    <x v="0"/>
    <n v="2026"/>
    <s v="dr736"/>
    <s v="Biological Records Centre"/>
    <s v="dp77"/>
    <s v="Halyzia sedecimguttata"/>
    <s v="Orange Ladybird"/>
    <s v="species"/>
    <x v="1"/>
    <s v="Arthropoda"/>
    <s v="Insecta"/>
    <s v="Coleoptera"/>
    <s v="Coccinellidae"/>
    <s v="Halyzia"/>
    <s v="SE05182364"/>
    <s v="SE"/>
    <s v="SE02"/>
    <s v="SE02L"/>
    <s v="SE0523"/>
    <n v="4"/>
  </r>
  <r>
    <n v="49888209"/>
    <d v="2026-02-11T00:00:00"/>
    <n v="11"/>
    <x v="0"/>
    <n v="2026"/>
    <s v="dr2141"/>
    <s v="British Bryological Society"/>
    <s v="dp74"/>
    <s v="Grimmia pulvinata"/>
    <s v="Grey-cushioned Grimmia"/>
    <s v="species"/>
    <x v="0"/>
    <s v="Bryophyta"/>
    <s v="Bryopsida"/>
    <s v="Grimmiales"/>
    <s v="Grimmiaceae"/>
    <s v="Grimmia"/>
    <s v="SK359874"/>
    <s v="SK"/>
    <s v="SK38"/>
    <s v="SK38N"/>
    <s v="SK3587"/>
    <n v="5"/>
  </r>
  <r>
    <n v="50023781"/>
    <d v="2026-02-13T00:00:00"/>
    <n v="13"/>
    <x v="0"/>
    <n v="2026"/>
    <s v="dr2141"/>
    <s v="British Bryological Society"/>
    <s v="dp74"/>
    <s v="Brachythecium rutabulum"/>
    <s v="Rough-stalked Feather-moss"/>
    <s v="species"/>
    <x v="0"/>
    <s v="Bryophyta"/>
    <s v="Bryopsida"/>
    <s v="Hypnales"/>
    <s v="Brachytheciaceae"/>
    <s v="Brachythecium"/>
    <s v="SK352850"/>
    <s v="SK"/>
    <s v="SK38"/>
    <s v="SK38M"/>
    <s v="SK3585"/>
    <n v="6"/>
  </r>
  <r>
    <n v="49724506"/>
    <d v="2026-01-30T00:00:00"/>
    <n v="30"/>
    <x v="1"/>
    <n v="2026"/>
    <s v="dr2141"/>
    <s v="British Bryological Society"/>
    <s v="dp74"/>
    <s v="Calliergonella cuspidata"/>
    <s v="Pointed Spear-moss"/>
    <s v="species"/>
    <x v="0"/>
    <s v="Bryophyta"/>
    <s v="Bryopsida"/>
    <s v="Hypnales"/>
    <s v="Pylaisiaceae"/>
    <s v="Calliergonella"/>
    <s v="SE16802274"/>
    <s v="SE"/>
    <s v="SE12"/>
    <s v="SE12R"/>
    <s v="SE1622"/>
    <n v="8"/>
  </r>
  <r>
    <n v="49304149"/>
    <d v="2026-02-01T00:00:00"/>
    <n v="1"/>
    <x v="0"/>
    <n v="2026"/>
    <s v="dr2141"/>
    <s v="British Bryological Society"/>
    <s v="dp74"/>
    <s v="Hypnum cupressiforme"/>
    <s v="Cypress-leaved Plait-moss"/>
    <s v="species"/>
    <x v="0"/>
    <s v="Bryophyta"/>
    <s v="Bryopsida"/>
    <s v="Hypnales"/>
    <s v="Hypnaceae"/>
    <s v="Hypnum"/>
    <s v="SK28699048"/>
    <s v="SK"/>
    <s v="SK29"/>
    <s v="SK29V"/>
    <s v="SK2890"/>
    <n v="9"/>
  </r>
  <r>
    <n v="49671634"/>
    <d v="2026-02-09T00:00:00"/>
    <n v="9"/>
    <x v="0"/>
    <n v="2026"/>
    <s v="dr2141"/>
    <s v="British Bryological Society"/>
    <s v="dp74"/>
    <s v="Campylopus introflexus"/>
    <s v="Heath Star Moss"/>
    <s v="species"/>
    <x v="0"/>
    <s v="Bryophyta"/>
    <s v="Bryopsida"/>
    <s v="Dicranales"/>
    <s v="Leucobryaceae"/>
    <s v="Campylopus"/>
    <s v="SE107265"/>
    <s v="SE"/>
    <s v="SE12"/>
    <s v="SE12D"/>
    <s v="SE1026"/>
    <n v="5"/>
  </r>
  <r>
    <n v="49397349"/>
    <d v="2026-02-03T00:00:00"/>
    <n v="3"/>
    <x v="0"/>
    <n v="2026"/>
    <s v="dr2141"/>
    <s v="British Bryological Society"/>
    <s v="dp74"/>
    <s v="Pseudoscleropodium purum"/>
    <s v="Neat Feather-moss"/>
    <s v="species"/>
    <x v="0"/>
    <s v="Bryophyta"/>
    <s v="Bryopsida"/>
    <s v="Hypnales"/>
    <s v="Brachytheciaceae"/>
    <s v="Pseudoscleropodium"/>
    <s v="SE11433472"/>
    <s v="SE"/>
    <s v="SE13"/>
    <s v="SE13C"/>
    <s v="SE1134"/>
    <n v="2"/>
  </r>
  <r>
    <n v="49888207"/>
    <d v="2026-02-11T00:00:00"/>
    <n v="11"/>
    <x v="0"/>
    <n v="2026"/>
    <s v="dr2141"/>
    <s v="British Bryological Society"/>
    <s v="dp74"/>
    <s v="Didymodon insulanus"/>
    <s v="Cylindric Beard-moss"/>
    <s v="species"/>
    <x v="0"/>
    <s v="Bryophyta"/>
    <s v="Bryopsida"/>
    <s v="Dicranales"/>
    <s v="Pottiaceae"/>
    <s v="Didymodon"/>
    <s v="SK362878"/>
    <s v="SK"/>
    <s v="SK38"/>
    <s v="SK38T"/>
    <s v="SK3687"/>
    <n v="1"/>
  </r>
  <r>
    <n v="49885944"/>
    <d v="2026-01-16T00:00:00"/>
    <n v="16"/>
    <x v="1"/>
    <n v="2026"/>
    <s v="dr2141"/>
    <s v="British Bryological Society"/>
    <s v="dp74"/>
    <s v="Pylaisia polyantha"/>
    <s v="Many-flowered Leskea"/>
    <s v="species"/>
    <x v="0"/>
    <s v="Bryophyta"/>
    <s v="Bryopsida"/>
    <s v="Hypnales"/>
    <s v="Pylaisiaceae"/>
    <s v="Pylaisia"/>
    <s v="SD92785243"/>
    <s v="SD"/>
    <s v="SD95"/>
    <s v="SD95G"/>
    <s v="SD9252"/>
    <n v="4"/>
  </r>
  <r>
    <n v="48903693"/>
    <d v="2026-01-26T00:00:00"/>
    <n v="26"/>
    <x v="1"/>
    <n v="2026"/>
    <s v="dr2141"/>
    <s v="British Bryological Society"/>
    <s v="dp74"/>
    <s v="Brachythecium rutabulum"/>
    <s v="Rough-stalked Feather-moss"/>
    <s v="species"/>
    <x v="0"/>
    <s v="Bryophyta"/>
    <s v="Bryopsida"/>
    <s v="Hypnales"/>
    <s v="Brachytheciaceae"/>
    <s v="Brachythecium"/>
    <s v="SE08902428"/>
    <s v="SE"/>
    <s v="SE02"/>
    <s v="SE02X"/>
    <s v="SE0824"/>
    <n v="6"/>
  </r>
  <r>
    <n v="49396426"/>
    <d v="2026-02-03T00:00:00"/>
    <n v="3"/>
    <x v="0"/>
    <n v="2026"/>
    <s v="dr2141"/>
    <s v="British Bryological Society"/>
    <s v="dp74"/>
    <s v="Lunularia cruciata"/>
    <s v="Crescent-cup Liverwort"/>
    <s v="species"/>
    <x v="0"/>
    <s v="Marchantiophyta"/>
    <s v="Marchantiopsida"/>
    <s v="Lunulariales"/>
    <s v="Lunulariaceae"/>
    <s v="Lunularia"/>
    <s v="SE11663482"/>
    <s v="SE"/>
    <s v="SE13"/>
    <s v="SE13C"/>
    <s v="SE1134"/>
    <n v="8"/>
  </r>
  <r>
    <n v="49298920"/>
    <d v="2026-01-31T00:00:00"/>
    <n v="31"/>
    <x v="1"/>
    <n v="2026"/>
    <s v="dr2141"/>
    <s v="British Bryological Society"/>
    <s v="dp74"/>
    <s v="Hylocomium splendens"/>
    <s v="Glittering Wood-moss"/>
    <s v="species"/>
    <x v="0"/>
    <s v="Bryophyta"/>
    <s v="Bryopsida"/>
    <s v="Hypnales"/>
    <s v="Hylocomiaceae"/>
    <s v="Hylocomium"/>
    <s v="SD99841722"/>
    <s v="SD"/>
    <s v="SD91"/>
    <s v="SD91Y"/>
    <s v="SD9917"/>
    <n v="7"/>
  </r>
  <r>
    <n v="49303224"/>
    <d v="2026-01-31T00:00:00"/>
    <n v="31"/>
    <x v="1"/>
    <n v="2026"/>
    <s v="dr2141"/>
    <s v="British Bryological Society"/>
    <s v="dp74"/>
    <s v="Sphagnum fallax"/>
    <s v="Flat-topped Bog-moss"/>
    <s v="species"/>
    <x v="0"/>
    <s v="Bryophyta"/>
    <s v="Sphagnopsida"/>
    <s v="Sphagnales"/>
    <s v="Sphagnaceae"/>
    <s v="Sphagnum"/>
    <s v="SE01911714"/>
    <s v="SE"/>
    <s v="SE01"/>
    <s v="SE01D"/>
    <s v="SE0117"/>
    <n v="9"/>
  </r>
  <r>
    <n v="50032035"/>
    <d v="2026-02-15T00:00:00"/>
    <n v="15"/>
    <x v="0"/>
    <n v="2026"/>
    <s v="dr2141"/>
    <s v="British Bryological Society"/>
    <s v="dp74"/>
    <s v="Metzgeria furcata"/>
    <s v="Forked Veilwort"/>
    <s v="species"/>
    <x v="0"/>
    <s v="Marchantiophyta"/>
    <s v="Jungermanniopsida"/>
    <s v="Metzgeriales"/>
    <s v="Metzgeriaceae"/>
    <s v="Metzgeria"/>
    <s v="SK321821"/>
    <s v="SK"/>
    <s v="SK38"/>
    <s v="SK38G"/>
    <s v="SK3282"/>
    <n v="2"/>
  </r>
  <r>
    <n v="49517751"/>
    <d v="2026-02-04T00:00:00"/>
    <n v="4"/>
    <x v="0"/>
    <n v="2026"/>
    <s v="dr2141"/>
    <s v="British Bryological Society"/>
    <s v="dp74"/>
    <s v="Racomitrium aciculare"/>
    <s v="Yellow Fringe-moss"/>
    <s v="species"/>
    <x v="0"/>
    <s v="Bryophyta"/>
    <s v="Bryopsida"/>
    <s v="Grimmiales"/>
    <s v="Grimmiaceae"/>
    <s v="Racomitrium"/>
    <s v="SD96522679"/>
    <s v="SD"/>
    <s v="SD92"/>
    <s v="SD92T"/>
    <s v="SD9626"/>
    <n v="4"/>
  </r>
  <r>
    <n v="50010273"/>
    <d v="2026-02-13T00:00:00"/>
    <n v="13"/>
    <x v="0"/>
    <n v="2026"/>
    <s v="dr2141"/>
    <s v="British Bryological Society"/>
    <s v="dp74"/>
    <s v="Grimmia pulvinata"/>
    <s v="Grey-cushioned Grimmia"/>
    <s v="species"/>
    <x v="0"/>
    <s v="Bryophyta"/>
    <s v="Bryopsida"/>
    <s v="Grimmiales"/>
    <s v="Grimmiaceae"/>
    <s v="Grimmia"/>
    <s v="SE143275"/>
    <s v="SE"/>
    <s v="SE12"/>
    <s v="SE12N"/>
    <s v="SE1427"/>
    <n v="5"/>
  </r>
  <r>
    <n v="49303884"/>
    <d v="2026-02-01T00:00:00"/>
    <n v="1"/>
    <x v="0"/>
    <n v="2026"/>
    <s v="dr2141"/>
    <s v="British Bryological Society"/>
    <s v="dp74"/>
    <s v="Rhytidiadelphus squarrosus"/>
    <s v="Springy Turf-moss"/>
    <s v="species"/>
    <x v="0"/>
    <s v="Bryophyta"/>
    <s v="Bryopsida"/>
    <s v="Hypnales"/>
    <s v="Hylocomiaceae"/>
    <s v="Rhytidiadelphus"/>
    <s v="SK287902"/>
    <s v="SK"/>
    <s v="SK29"/>
    <s v="SK29V"/>
    <s v="SK2890"/>
    <n v="6"/>
  </r>
  <r>
    <n v="48675298"/>
    <d v="2026-01-16T00:00:00"/>
    <n v="16"/>
    <x v="1"/>
    <n v="2026"/>
    <s v="dr2141"/>
    <s v="British Bryological Society"/>
    <s v="dp74"/>
    <s v="Hylocomium splendens"/>
    <s v="Glittering Wood-moss"/>
    <s v="species"/>
    <x v="0"/>
    <s v="Bryophyta"/>
    <s v="Bryopsida"/>
    <s v="Hypnales"/>
    <s v="Hylocomiaceae"/>
    <s v="Hylocomium"/>
    <s v="SE01852384"/>
    <s v="SE"/>
    <s v="SE02"/>
    <s v="SE02B"/>
    <s v="SE0123"/>
    <n v="2"/>
  </r>
  <r>
    <n v="49962481"/>
    <d v="2026-02-12T00:00:00"/>
    <n v="12"/>
    <x v="0"/>
    <n v="2026"/>
    <s v="dr2141"/>
    <s v="British Bryological Society"/>
    <s v="dp74"/>
    <s v="Campylopus introflexus"/>
    <s v="Heath Star Moss"/>
    <s v="species"/>
    <x v="0"/>
    <s v="Bryophyta"/>
    <s v="Bryopsida"/>
    <s v="Dicranales"/>
    <s v="Leucobryaceae"/>
    <s v="Campylopus"/>
    <s v="SE13712071"/>
    <s v="SE"/>
    <s v="SE12"/>
    <s v="SE12F"/>
    <s v="SE1320"/>
    <n v="8"/>
  </r>
  <r>
    <n v="48720809"/>
    <d v="2026-01-20T00:00:00"/>
    <n v="20"/>
    <x v="1"/>
    <n v="2026"/>
    <s v="dr736"/>
    <s v="Biological Records Centre"/>
    <s v="dp77"/>
    <s v="Harmonia axyridis"/>
    <s v="Harlequin Ladybird"/>
    <s v="species"/>
    <x v="1"/>
    <s v="Arthropoda"/>
    <s v="Insecta"/>
    <s v="Coleoptera"/>
    <s v="Coccinellidae"/>
    <s v="Harmonia"/>
    <s v="SE668111"/>
    <s v="SE"/>
    <s v="SE61"/>
    <s v="SE61Q"/>
    <s v="SE6611"/>
    <n v="6"/>
  </r>
  <r>
    <n v="48995017"/>
    <d v="2026-01-23T00:00:00"/>
    <n v="23"/>
    <x v="1"/>
    <n v="2026"/>
    <s v="dr2141"/>
    <s v="British Bryological Society"/>
    <s v="dp74"/>
    <s v="Rhytidiadelphus squarrosus"/>
    <s v="Springy Turf-moss"/>
    <s v="species"/>
    <x v="0"/>
    <s v="Bryophyta"/>
    <s v="Bryopsida"/>
    <s v="Hypnales"/>
    <s v="Hylocomiaceae"/>
    <s v="Rhytidiadelphus"/>
    <s v="SE118207"/>
    <s v="SE"/>
    <s v="SE12"/>
    <s v="SE12A"/>
    <s v="SE1120"/>
    <n v="1"/>
  </r>
  <r>
    <n v="49962483"/>
    <d v="2026-02-12T00:00:00"/>
    <n v="12"/>
    <x v="0"/>
    <n v="2026"/>
    <s v="dr2141"/>
    <s v="British Bryological Society"/>
    <s v="dp74"/>
    <s v="Brachythecium albicans"/>
    <s v="Whitish Feather-moss"/>
    <s v="species"/>
    <x v="0"/>
    <s v="Bryophyta"/>
    <s v="Bryopsida"/>
    <s v="Hypnales"/>
    <s v="Brachytheciaceae"/>
    <s v="Brachythecium"/>
    <s v="SE1320"/>
    <s v="SE"/>
    <s v="SE12"/>
    <s v="SE12F"/>
    <s v="SE1320"/>
    <n v="0"/>
  </r>
  <r>
    <n v="49888236"/>
    <d v="2026-02-11T00:00:00"/>
    <n v="11"/>
    <x v="0"/>
    <n v="2026"/>
    <s v="dr2141"/>
    <s v="British Bryological Society"/>
    <s v="dp74"/>
    <s v="Orthotrichum anomalum"/>
    <s v="Anomalous Bristle-moss"/>
    <s v="species"/>
    <x v="0"/>
    <s v="Bryophyta"/>
    <s v="Bryopsida"/>
    <s v="Orthotrichales"/>
    <s v="Orthotrichaceae"/>
    <s v="Orthotrichum"/>
    <s v="SK359874"/>
    <s v="SK"/>
    <s v="SK38"/>
    <s v="SK38N"/>
    <s v="SK3587"/>
    <n v="0"/>
  </r>
  <r>
    <n v="49512975"/>
    <d v="2026-02-04T00:00:00"/>
    <n v="4"/>
    <x v="0"/>
    <n v="2026"/>
    <s v="dr2141"/>
    <s v="British Bryological Society"/>
    <s v="dp74"/>
    <s v="Grimmia pulvinata"/>
    <s v="Grey-cushioned Grimmia"/>
    <s v="species"/>
    <x v="0"/>
    <s v="Bryophyta"/>
    <s v="Bryopsida"/>
    <s v="Grimmiales"/>
    <s v="Grimmiaceae"/>
    <s v="Grimmia"/>
    <s v="SK355880"/>
    <s v="SK"/>
    <s v="SK38"/>
    <s v="SK38P"/>
    <s v="SK3588"/>
    <n v="0"/>
  </r>
  <r>
    <n v="49304164"/>
    <d v="2026-02-01T00:00:00"/>
    <n v="1"/>
    <x v="0"/>
    <n v="2026"/>
    <s v="dr2141"/>
    <s v="British Bryological Society"/>
    <s v="dp74"/>
    <s v="Syntrichia ruralis"/>
    <s v="Great Hairy Screw-moss"/>
    <s v="species"/>
    <x v="0"/>
    <s v="Bryophyta"/>
    <s v="Bryopsida"/>
    <s v="Dicranales"/>
    <s v="Pottiaceae"/>
    <s v="Syntrichia"/>
    <s v="SK295898"/>
    <s v="SK"/>
    <s v="SK28"/>
    <s v="SK28Z"/>
    <s v="SK2989"/>
    <n v="3"/>
  </r>
  <r>
    <n v="49724522"/>
    <d v="2026-02-04T00:00:00"/>
    <n v="4"/>
    <x v="0"/>
    <n v="2026"/>
    <s v="dr2141"/>
    <s v="British Bryological Society"/>
    <s v="dp74"/>
    <s v="Diplophyllum albicans"/>
    <s v="White Earwort"/>
    <s v="species"/>
    <x v="0"/>
    <s v="Marchantiophyta"/>
    <s v="Jungermanniopsida"/>
    <s v="Jungermanniales"/>
    <s v="Scapaniaceae"/>
    <s v="Diplophyllum"/>
    <s v="SD965265"/>
    <s v="SD"/>
    <s v="SD92"/>
    <s v="SD92T"/>
    <s v="SD9626"/>
    <n v="5"/>
  </r>
  <r>
    <n v="48722316"/>
    <d v="2026-01-20T00:00:00"/>
    <n v="20"/>
    <x v="1"/>
    <n v="2026"/>
    <s v="dr2141"/>
    <s v="British Bryological Society"/>
    <s v="dp74"/>
    <s v="Plagiothecium undulatum"/>
    <s v="Waved Silk-moss"/>
    <s v="species"/>
    <x v="0"/>
    <s v="Bryophyta"/>
    <s v="Bryopsida"/>
    <s v="Hypnales"/>
    <s v="Plagiotheciaceae"/>
    <s v="Plagiothecium"/>
    <s v="SE09343388"/>
    <s v="SE"/>
    <s v="SE03"/>
    <s v="SE03W"/>
    <s v="SE0933"/>
    <n v="6"/>
  </r>
  <r>
    <n v="49030071"/>
    <d v="2026-01-20T00:00:00"/>
    <n v="20"/>
    <x v="1"/>
    <n v="2026"/>
    <s v="dr2141"/>
    <s v="British Bryological Society"/>
    <s v="dp74"/>
    <s v="Pleurozium schreberi"/>
    <s v="Red-stemmed Feather-moss"/>
    <s v="species"/>
    <x v="0"/>
    <s v="Bryophyta"/>
    <s v="Bryopsida"/>
    <s v="Hypnales"/>
    <s v="Hylocomiaceae"/>
    <s v="Pleurozium"/>
    <s v="SE094338"/>
    <s v="SE"/>
    <s v="SE03"/>
    <s v="SE03W"/>
    <s v="SE0933"/>
    <n v="7"/>
  </r>
  <r>
    <n v="49724497"/>
    <d v="2026-01-28T00:00:00"/>
    <n v="28"/>
    <x v="1"/>
    <n v="2026"/>
    <s v="dr2141"/>
    <s v="British Bryological Society"/>
    <s v="dp74"/>
    <s v="Pleurozium schreberi"/>
    <s v="Red-stemmed Feather-moss"/>
    <s v="species"/>
    <x v="0"/>
    <s v="Bryophyta"/>
    <s v="Bryopsida"/>
    <s v="Hypnales"/>
    <s v="Hylocomiaceae"/>
    <s v="Pleurozium"/>
    <s v="SE01042048"/>
    <s v="SE"/>
    <s v="SE02"/>
    <s v="SE02A"/>
    <s v="SE0120"/>
    <n v="8"/>
  </r>
  <r>
    <n v="49030072"/>
    <d v="2026-01-20T00:00:00"/>
    <n v="20"/>
    <x v="1"/>
    <n v="2026"/>
    <s v="dr2141"/>
    <s v="British Bryological Society"/>
    <s v="dp74"/>
    <s v="Pseudoscleropodium purum"/>
    <s v="Neat Feather-moss"/>
    <s v="species"/>
    <x v="0"/>
    <s v="Bryophyta"/>
    <s v="Bryopsida"/>
    <s v="Hypnales"/>
    <s v="Brachytheciaceae"/>
    <s v="Pseudoscleropodium"/>
    <s v="SE09403390"/>
    <s v="SE"/>
    <s v="SE03"/>
    <s v="SE03W"/>
    <s v="SE0933"/>
    <n v="9"/>
  </r>
  <r>
    <n v="49249904"/>
    <d v="2026-01-29T00:00:00"/>
    <n v="29"/>
    <x v="1"/>
    <n v="2026"/>
    <s v="dr2141"/>
    <s v="British Bryological Society"/>
    <s v="dp74"/>
    <s v="Bryum capillare"/>
    <s v="Capillary Thread-moss"/>
    <s v="species"/>
    <x v="0"/>
    <s v="Bryophyta"/>
    <s v="Bryopsida"/>
    <s v="Bryales"/>
    <s v="Bryaceae"/>
    <s v="Bryum"/>
    <s v="SK357877"/>
    <s v="SK"/>
    <s v="SK38"/>
    <s v="SK38N"/>
    <s v="SK3587"/>
    <n v="2"/>
  </r>
  <r>
    <n v="50032491"/>
    <d v="2026-02-15T00:00:00"/>
    <n v="15"/>
    <x v="0"/>
    <n v="2026"/>
    <s v="dr2141"/>
    <s v="British Bryological Society"/>
    <s v="dp74"/>
    <s v="Funaria hygrometrica"/>
    <s v="Common Cord-moss"/>
    <s v="species"/>
    <x v="0"/>
    <s v="Bryophyta"/>
    <s v="Bryopsida"/>
    <s v="Funariales"/>
    <s v="Funariaceae"/>
    <s v="Funaria"/>
    <s v="SK325819"/>
    <s v="SK"/>
    <s v="SK38"/>
    <s v="SK38F"/>
    <s v="SK3281"/>
    <n v="5"/>
  </r>
  <r>
    <n v="49303282"/>
    <d v="2026-01-31T00:00:00"/>
    <n v="31"/>
    <x v="1"/>
    <n v="2026"/>
    <s v="dr2141"/>
    <s v="British Bryological Society"/>
    <s v="dp74"/>
    <s v="Sphagnum fimbriatum"/>
    <s v="Fringed Bog-moss"/>
    <s v="species"/>
    <x v="0"/>
    <s v="Bryophyta"/>
    <s v="Sphagnopsida"/>
    <s v="Sphagnales"/>
    <s v="Sphagnaceae"/>
    <s v="Sphagnum"/>
    <s v="SD99931772"/>
    <s v="SD"/>
    <s v="SD91"/>
    <s v="SD91Y"/>
    <s v="SD9917"/>
    <n v="5"/>
  </r>
  <r>
    <n v="49304147"/>
    <d v="2026-02-01T00:00:00"/>
    <n v="1"/>
    <x v="0"/>
    <n v="2026"/>
    <s v="dr2141"/>
    <s v="British Bryological Society"/>
    <s v="dp74"/>
    <s v="Radula complanata"/>
    <s v="Even Scalewort"/>
    <s v="species"/>
    <x v="0"/>
    <s v="Marchantiophyta"/>
    <s v="Jungermanniopsida"/>
    <s v="Porellales"/>
    <s v="Radulaceae"/>
    <s v="Radula"/>
    <s v="SK28699048"/>
    <s v="SK"/>
    <s v="SK29"/>
    <s v="SK29V"/>
    <s v="SK2890"/>
    <n v="0"/>
  </r>
  <r>
    <n v="49303281"/>
    <d v="2026-01-31T00:00:00"/>
    <n v="31"/>
    <x v="1"/>
    <n v="2026"/>
    <s v="dr2141"/>
    <s v="British Bryological Society"/>
    <s v="dp74"/>
    <s v="Plagiothecium undulatum"/>
    <s v="Waved Silk-moss"/>
    <s v="species"/>
    <x v="0"/>
    <s v="Bryophyta"/>
    <s v="Bryopsida"/>
    <s v="Hypnales"/>
    <s v="Plagiotheciaceae"/>
    <s v="Plagiothecium"/>
    <s v="SE00031785"/>
    <s v="SE"/>
    <s v="SE01"/>
    <s v="SE01D"/>
    <s v="SE0017"/>
    <n v="0"/>
  </r>
  <r>
    <n v="49889537"/>
    <d v="2026-02-11T00:00:00"/>
    <n v="11"/>
    <x v="0"/>
    <n v="2026"/>
    <s v="dr2141"/>
    <s v="British Bryological Society"/>
    <s v="dp74"/>
    <s v="Brachythecium rutabulum"/>
    <s v="Rough-stalked Feather-moss"/>
    <s v="species"/>
    <x v="0"/>
    <s v="Bryophyta"/>
    <s v="Bryopsida"/>
    <s v="Hypnales"/>
    <s v="Brachytheciaceae"/>
    <s v="Brachythecium"/>
    <s v="SK363879"/>
    <s v="SK"/>
    <s v="SK38"/>
    <s v="SK38T"/>
    <s v="SK3687"/>
    <n v="5"/>
  </r>
  <r>
    <n v="49962484"/>
    <d v="2026-02-12T00:00:00"/>
    <n v="12"/>
    <x v="0"/>
    <n v="2026"/>
    <s v="dr2141"/>
    <s v="British Bryological Society"/>
    <s v="dp74"/>
    <s v="Rhytidiadelphus squarrosus"/>
    <s v="Springy Turf-moss"/>
    <s v="species"/>
    <x v="0"/>
    <s v="Bryophyta"/>
    <s v="Bryopsida"/>
    <s v="Hypnales"/>
    <s v="Hylocomiaceae"/>
    <s v="Rhytidiadelphus"/>
    <s v="SE13712071"/>
    <s v="SE"/>
    <s v="SE12"/>
    <s v="SE12F"/>
    <s v="SE1320"/>
    <n v="4"/>
  </r>
  <r>
    <n v="48665830"/>
    <d v="2026-01-15T00:00:00"/>
    <n v="15"/>
    <x v="1"/>
    <n v="2026"/>
    <s v="dr2141"/>
    <s v="British Bryological Society"/>
    <s v="dp74"/>
    <s v="Hypnum jutlandicum"/>
    <s v="Heath Plait-moss"/>
    <s v="species"/>
    <x v="0"/>
    <s v="Bryophyta"/>
    <s v="Bryopsida"/>
    <s v="Hypnales"/>
    <s v="Hypnaceae"/>
    <s v="Hypnum"/>
    <s v="SE07131708"/>
    <s v="SE"/>
    <s v="SE01"/>
    <s v="SE01T"/>
    <s v="SE0717"/>
    <n v="6"/>
  </r>
  <r>
    <n v="49298830"/>
    <d v="2026-01-31T00:00:00"/>
    <n v="31"/>
    <x v="1"/>
    <n v="2026"/>
    <s v="dr2141"/>
    <s v="British Bryological Society"/>
    <s v="dp74"/>
    <s v="Polytrichum piliferum"/>
    <s v="Bristly Haircap"/>
    <s v="species"/>
    <x v="0"/>
    <s v="Bryophyta"/>
    <s v="Polytrichopsida"/>
    <s v="Polytrichales"/>
    <s v="Polytrichaceae"/>
    <s v="Polytrichum"/>
    <s v="SE01241842"/>
    <s v="SE"/>
    <s v="SE01"/>
    <s v="SE01E"/>
    <s v="SE0118"/>
    <n v="2"/>
  </r>
  <r>
    <n v="49514956"/>
    <d v="2026-02-04T00:00:00"/>
    <n v="4"/>
    <x v="0"/>
    <n v="2026"/>
    <s v="dr2141"/>
    <s v="British Bryological Society"/>
    <s v="dp74"/>
    <s v="Ctenidium molluscum"/>
    <s v="Chalk Comb-moss"/>
    <s v="species"/>
    <x v="0"/>
    <s v="Bryophyta"/>
    <s v="Bryopsida"/>
    <s v="Hypnales"/>
    <s v="Myuriaceae"/>
    <s v="Ctenidium"/>
    <s v="SD96972628"/>
    <s v="SD"/>
    <s v="SD92"/>
    <s v="SD92T"/>
    <s v="SD9626"/>
    <n v="7"/>
  </r>
  <r>
    <n v="49724524"/>
    <d v="2026-02-04T00:00:00"/>
    <n v="4"/>
    <x v="0"/>
    <n v="2026"/>
    <s v="dr2141"/>
    <s v="British Bryological Society"/>
    <s v="dp74"/>
    <s v="Brachythecium rutabulum"/>
    <s v="Rough-stalked Feather-moss"/>
    <s v="species"/>
    <x v="0"/>
    <s v="Bryophyta"/>
    <s v="Bryopsida"/>
    <s v="Hypnales"/>
    <s v="Brachytheciaceae"/>
    <s v="Brachythecium"/>
    <s v="SD964268"/>
    <s v="SD"/>
    <s v="SD92"/>
    <s v="SD92T"/>
    <s v="SD9626"/>
    <n v="6"/>
  </r>
  <r>
    <n v="49303860"/>
    <d v="2026-02-01T00:00:00"/>
    <n v="1"/>
    <x v="0"/>
    <n v="2026"/>
    <s v="dr2141"/>
    <s v="British Bryological Society"/>
    <s v="dp74"/>
    <s v="Cryphaea heteromalla"/>
    <s v="Lateral Cryphaea"/>
    <s v="species"/>
    <x v="0"/>
    <s v="Bryophyta"/>
    <s v="Bryopsida"/>
    <s v="Hypnales"/>
    <s v="Cryphaeaceae"/>
    <s v="Cryphaea"/>
    <s v="SK292900"/>
    <s v="SK"/>
    <s v="SK29"/>
    <s v="SK29V"/>
    <s v="SK2990"/>
    <n v="2"/>
  </r>
  <r>
    <n v="48665829"/>
    <d v="2026-01-15T00:00:00"/>
    <n v="15"/>
    <x v="1"/>
    <n v="2026"/>
    <s v="dr2141"/>
    <s v="British Bryological Society"/>
    <s v="dp74"/>
    <s v="Polytrichum juniperinum"/>
    <s v="Juniper Haircap"/>
    <s v="species"/>
    <x v="0"/>
    <s v="Bryophyta"/>
    <s v="Polytrichopsida"/>
    <s v="Polytrichales"/>
    <s v="Polytrichaceae"/>
    <s v="Polytrichum"/>
    <s v="SE07101711"/>
    <s v="SE"/>
    <s v="SE01"/>
    <s v="SE01T"/>
    <s v="SE0717"/>
    <n v="1"/>
  </r>
  <r>
    <n v="49888482"/>
    <d v="2026-02-11T00:00:00"/>
    <n v="11"/>
    <x v="0"/>
    <n v="2026"/>
    <s v="dr2141"/>
    <s v="British Bryological Society"/>
    <s v="dp74"/>
    <s v="Kindbergia praelonga"/>
    <s v="Common Feather-moss"/>
    <s v="species"/>
    <x v="0"/>
    <s v="Bryophyta"/>
    <s v="Bryopsida"/>
    <s v="Hypnales"/>
    <s v="Brachytheciaceae"/>
    <s v="Kindbergia"/>
    <s v="SE08532594"/>
    <s v="SE"/>
    <s v="SE02"/>
    <s v="SE02X"/>
    <s v="SE0825"/>
    <n v="0"/>
  </r>
  <r>
    <n v="49395896"/>
    <d v="2026-02-02T00:00:00"/>
    <n v="2"/>
    <x v="0"/>
    <n v="2026"/>
    <s v="dr2141"/>
    <s v="British Bryological Society"/>
    <s v="dp74"/>
    <s v="Aulacomnium palustre"/>
    <s v="Bog Groove-moss"/>
    <s v="species"/>
    <x v="0"/>
    <s v="Bryophyta"/>
    <s v="Bryopsida"/>
    <s v="Aulacomniales"/>
    <s v="Aulacomniaceae"/>
    <s v="Aulacomnium"/>
    <s v="SE20302931"/>
    <s v="SE"/>
    <s v="SE22"/>
    <s v="SE22E"/>
    <s v="SE2029"/>
    <n v="0"/>
  </r>
  <r>
    <n v="49303288"/>
    <d v="2026-01-31T00:00:00"/>
    <n v="31"/>
    <x v="1"/>
    <n v="2026"/>
    <s v="dr2141"/>
    <s v="British Bryological Society"/>
    <s v="dp74"/>
    <s v="Sphagnum palustre"/>
    <s v="Blunt-leaved Bog-moss"/>
    <s v="species"/>
    <x v="0"/>
    <s v="Bryophyta"/>
    <s v="Sphagnopsida"/>
    <s v="Sphagnales"/>
    <s v="Sphagnaceae"/>
    <s v="Sphagnum"/>
    <s v="SD99961722"/>
    <s v="SD"/>
    <s v="SD91"/>
    <s v="SD91Y"/>
    <s v="SD9917"/>
    <n v="5"/>
  </r>
  <r>
    <n v="49512992"/>
    <d v="2026-02-04T00:00:00"/>
    <n v="4"/>
    <x v="0"/>
    <n v="2026"/>
    <s v="dr2141"/>
    <s v="British Bryological Society"/>
    <s v="dp74"/>
    <s v="Marchantia polymorpha"/>
    <s v="Common Liverwort"/>
    <s v="species"/>
    <x v="0"/>
    <s v="Marchantiophyta"/>
    <s v="Marchantiopsida"/>
    <s v="Marchantiales"/>
    <s v="Marchantiaceae"/>
    <s v="Marchantia"/>
    <s v="SK356878"/>
    <s v="SK"/>
    <s v="SK38"/>
    <s v="SK38N"/>
    <s v="SK3587"/>
    <n v="0"/>
  </r>
  <r>
    <n v="49249976"/>
    <d v="2026-01-29T00:00:00"/>
    <n v="29"/>
    <x v="1"/>
    <n v="2026"/>
    <s v="dr2141"/>
    <s v="British Bryological Society"/>
    <s v="dp74"/>
    <s v="Bryum argenteum"/>
    <s v="Silver-moss"/>
    <s v="species"/>
    <x v="0"/>
    <s v="Bryophyta"/>
    <s v="Bryopsida"/>
    <s v="Bryales"/>
    <s v="Bryaceae"/>
    <s v="Bryum"/>
    <s v="SK357877"/>
    <s v="SK"/>
    <s v="SK38"/>
    <s v="SK38N"/>
    <s v="SK3587"/>
    <n v="9"/>
  </r>
  <r>
    <n v="49397348"/>
    <d v="2026-02-03T00:00:00"/>
    <n v="3"/>
    <x v="0"/>
    <n v="2026"/>
    <s v="dr2141"/>
    <s v="British Bryological Society"/>
    <s v="dp74"/>
    <s v="Atrichum undulatum"/>
    <s v="Common Smoothcap"/>
    <s v="species"/>
    <x v="0"/>
    <s v="Bryophyta"/>
    <s v="Polytrichopsida"/>
    <s v="Polytrichales"/>
    <s v="Polytrichaceae"/>
    <s v="Atrichum"/>
    <s v="SE11463477"/>
    <s v="SE"/>
    <s v="SE13"/>
    <s v="SE13C"/>
    <s v="SE1134"/>
    <n v="6"/>
  </r>
  <r>
    <n v="49303865"/>
    <d v="2026-02-01T00:00:00"/>
    <n v="1"/>
    <x v="0"/>
    <n v="2026"/>
    <s v="dr2141"/>
    <s v="British Bryological Society"/>
    <s v="dp74"/>
    <s v="Grimmia pulvinata"/>
    <s v="Grey-cushioned Grimmia"/>
    <s v="species"/>
    <x v="0"/>
    <s v="Bryophyta"/>
    <s v="Bryopsida"/>
    <s v="Grimmiales"/>
    <s v="Grimmiaceae"/>
    <s v="Grimmia"/>
    <s v="SK293904"/>
    <s v="SK"/>
    <s v="SK29"/>
    <s v="SK29V"/>
    <s v="SK2990"/>
    <n v="5"/>
  </r>
  <r>
    <n v="48615939"/>
    <d v="2026-01-08T00:00:00"/>
    <n v="8"/>
    <x v="1"/>
    <n v="2026"/>
    <s v="dr2141"/>
    <s v="British Bryological Society"/>
    <s v="dp74"/>
    <s v="Sphagnum subnitens"/>
    <s v="Lustrous Bog-moss"/>
    <s v="species"/>
    <x v="0"/>
    <s v="Bryophyta"/>
    <s v="Sphagnopsida"/>
    <s v="Sphagnales"/>
    <s v="Sphagnaceae"/>
    <s v="Sphagnum"/>
    <s v="SD9619"/>
    <s v="SD"/>
    <s v="SD91"/>
    <s v="SD91U"/>
    <s v="SD9619"/>
    <n v="1"/>
  </r>
  <r>
    <n v="49297867"/>
    <d v="2026-01-31T00:00:00"/>
    <n v="31"/>
    <x v="1"/>
    <n v="2026"/>
    <s v="dr736"/>
    <s v="Biological Records Centre"/>
    <s v="dp77"/>
    <s v="Coccinella septempunctata"/>
    <s v="7-spot Ladybird"/>
    <s v="species"/>
    <x v="1"/>
    <s v="Arthropoda"/>
    <s v="Insecta"/>
    <s v="Coleoptera"/>
    <s v="Coccinellidae"/>
    <s v="Coccinella"/>
    <s v="SE562045"/>
    <s v="SE"/>
    <s v="SE50"/>
    <s v="SE50S"/>
    <s v="SE5604"/>
    <n v="0"/>
  </r>
  <r>
    <n v="48712952"/>
    <d v="2026-01-16T00:00:00"/>
    <n v="16"/>
    <x v="1"/>
    <n v="2026"/>
    <s v="dr2141"/>
    <s v="British Bryological Society"/>
    <s v="dp74"/>
    <s v="Riccardia palmata"/>
    <s v="Palmate Germanderwort"/>
    <s v="species"/>
    <x v="0"/>
    <s v="Marchantiophyta"/>
    <s v="Jungermanniopsida"/>
    <s v="Metzgeriales"/>
    <s v="Aneuraceae"/>
    <s v="Riccardia"/>
    <s v="SD92795240"/>
    <s v="SD"/>
    <s v="SD95"/>
    <s v="SD95G"/>
    <s v="SD9252"/>
    <n v="8"/>
  </r>
  <r>
    <n v="48736072"/>
    <d v="2026-01-21T00:00:00"/>
    <n v="21"/>
    <x v="1"/>
    <n v="2026"/>
    <s v="dr2141"/>
    <s v="British Bryological Society"/>
    <s v="dp74"/>
    <s v="Mnium hornum"/>
    <s v="Swan's-neck Thyme-moss"/>
    <s v="species"/>
    <x v="0"/>
    <s v="Bryophyta"/>
    <s v="Bryopsida"/>
    <s v="Bryales"/>
    <s v="Mniaceae"/>
    <s v="Mnium"/>
    <s v="SE081236"/>
    <s v="SE"/>
    <s v="SE02"/>
    <s v="SE02W"/>
    <s v="SE0823"/>
    <n v="9"/>
  </r>
  <r>
    <n v="49030077"/>
    <d v="2026-01-22T00:00:00"/>
    <n v="22"/>
    <x v="1"/>
    <n v="2026"/>
    <s v="dr2141"/>
    <s v="British Bryological Society"/>
    <s v="dp74"/>
    <s v="Kindbergia praelonga"/>
    <s v="Common Feather-moss"/>
    <s v="species"/>
    <x v="0"/>
    <s v="Bryophyta"/>
    <s v="Bryopsida"/>
    <s v="Hypnales"/>
    <s v="Brachytheciaceae"/>
    <s v="Kindbergia"/>
    <s v="SE14592541"/>
    <s v="SE"/>
    <s v="SE12"/>
    <s v="SE12M"/>
    <s v="SE1425"/>
    <n v="0"/>
  </r>
  <r>
    <n v="49304160"/>
    <d v="2026-02-01T00:00:00"/>
    <n v="1"/>
    <x v="0"/>
    <n v="2026"/>
    <s v="dr2141"/>
    <s v="British Bryological Society"/>
    <s v="dp74"/>
    <s v="Didymodon insulanus"/>
    <s v="Cylindric Beard-moss"/>
    <s v="species"/>
    <x v="0"/>
    <s v="Bryophyta"/>
    <s v="Bryopsida"/>
    <s v="Dicranales"/>
    <s v="Pottiaceae"/>
    <s v="Didymodon"/>
    <s v="SK295898"/>
    <s v="SK"/>
    <s v="SK28"/>
    <s v="SK28Z"/>
    <s v="SK2989"/>
    <n v="5"/>
  </r>
  <r>
    <n v="49298511"/>
    <d v="2026-01-31T00:00:00"/>
    <n v="31"/>
    <x v="1"/>
    <n v="2026"/>
    <s v="dr2141"/>
    <s v="British Bryological Society"/>
    <s v="dp74"/>
    <s v="Rhytidiadelphus squarrosus"/>
    <s v="Springy Turf-moss"/>
    <s v="species"/>
    <x v="0"/>
    <s v="Bryophyta"/>
    <s v="Bryopsida"/>
    <s v="Hypnales"/>
    <s v="Hylocomiaceae"/>
    <s v="Rhytidiadelphus"/>
    <s v="SE00731817"/>
    <s v="SE"/>
    <s v="SE01"/>
    <s v="SE01E"/>
    <s v="SE0018"/>
    <n v="2"/>
  </r>
  <r>
    <n v="49245962"/>
    <d v="2026-01-30T00:00:00"/>
    <n v="30"/>
    <x v="1"/>
    <n v="2026"/>
    <s v="dr2141"/>
    <s v="British Bryological Society"/>
    <s v="dp74"/>
    <s v="Orthotrichum anomalum"/>
    <s v="Anomalous Bristle-moss"/>
    <s v="species"/>
    <x v="0"/>
    <s v="Bryophyta"/>
    <s v="Bryopsida"/>
    <s v="Orthotrichales"/>
    <s v="Orthotrichaceae"/>
    <s v="Orthotrichum"/>
    <s v="SK366864"/>
    <s v="SK"/>
    <s v="SK38"/>
    <s v="SK38T"/>
    <s v="SK3686"/>
    <n v="5"/>
  </r>
  <r>
    <n v="49395892"/>
    <d v="2026-02-01T00:00:00"/>
    <n v="1"/>
    <x v="0"/>
    <n v="2026"/>
    <s v="dr2141"/>
    <s v="British Bryological Society"/>
    <s v="dp74"/>
    <s v="Rhynchostegium confertum"/>
    <s v="Clustered Feather-moss"/>
    <s v="species"/>
    <x v="0"/>
    <s v="Bryophyta"/>
    <s v="Bryopsida"/>
    <s v="Hypnales"/>
    <s v="Brachytheciaceae"/>
    <s v="Rhynchostegium"/>
    <s v="SE24872265"/>
    <s v="SE"/>
    <s v="SE22"/>
    <s v="SE22L"/>
    <s v="SE2422"/>
    <n v="4"/>
  </r>
  <r>
    <n v="48615951"/>
    <d v="2026-01-08T00:00:00"/>
    <n v="8"/>
    <x v="1"/>
    <n v="2026"/>
    <s v="dr2141"/>
    <s v="British Bryological Society"/>
    <s v="dp74"/>
    <s v="Hylocomium splendens"/>
    <s v="Glittering Wood-moss"/>
    <s v="species"/>
    <x v="0"/>
    <s v="Bryophyta"/>
    <s v="Bryopsida"/>
    <s v="Hypnales"/>
    <s v="Hylocomiaceae"/>
    <s v="Hylocomium"/>
    <s v="SD9719"/>
    <s v="SD"/>
    <s v="SD91"/>
    <s v="SD91U"/>
    <s v="SD9719"/>
    <n v="6"/>
  </r>
  <r>
    <n v="49961922"/>
    <d v="2026-02-12T00:00:00"/>
    <n v="12"/>
    <x v="0"/>
    <n v="2026"/>
    <s v="dr2141"/>
    <s v="British Bryological Society"/>
    <s v="dp74"/>
    <s v="Orthotrichum anomalum"/>
    <s v="Anomalous Bristle-moss"/>
    <s v="species"/>
    <x v="0"/>
    <s v="Bryophyta"/>
    <s v="Bryopsida"/>
    <s v="Orthotrichales"/>
    <s v="Orthotrichaceae"/>
    <s v="Orthotrichum"/>
    <s v="SK347873"/>
    <s v="SK"/>
    <s v="SK38"/>
    <s v="SK38N"/>
    <s v="SK3487"/>
    <n v="9"/>
  </r>
  <r>
    <n v="49303226"/>
    <d v="2026-01-31T00:00:00"/>
    <n v="31"/>
    <x v="1"/>
    <n v="2026"/>
    <s v="dr2141"/>
    <s v="British Bryological Society"/>
    <s v="dp74"/>
    <s v="Sphagnum papillosum"/>
    <s v="Papillose Bog-moss"/>
    <s v="species"/>
    <x v="0"/>
    <s v="Bryophyta"/>
    <s v="Sphagnopsida"/>
    <s v="Sphagnales"/>
    <s v="Sphagnaceae"/>
    <s v="Sphagnum"/>
    <s v="SE01971717"/>
    <s v="SE"/>
    <s v="SE01"/>
    <s v="SE01D"/>
    <s v="SE0117"/>
    <n v="0"/>
  </r>
  <r>
    <n v="49395887"/>
    <d v="2026-02-01T00:00:00"/>
    <n v="1"/>
    <x v="0"/>
    <n v="2026"/>
    <s v="dr2141"/>
    <s v="British Bryological Society"/>
    <s v="dp74"/>
    <s v="Kindbergia praelonga"/>
    <s v="Common Feather-moss"/>
    <s v="species"/>
    <x v="0"/>
    <s v="Bryophyta"/>
    <s v="Bryopsida"/>
    <s v="Hypnales"/>
    <s v="Brachytheciaceae"/>
    <s v="Kindbergia"/>
    <s v="SK38G"/>
    <s v="SK"/>
    <s v="SK38"/>
    <s v="SK38G"/>
    <m/>
    <n v="2"/>
  </r>
  <r>
    <n v="49962498"/>
    <d v="2026-02-12T00:00:00"/>
    <n v="12"/>
    <x v="0"/>
    <n v="2026"/>
    <s v="dr696"/>
    <s v="Biological Records Centre"/>
    <s v="dp77"/>
    <s v="Leptoglossus occidentalis"/>
    <s v="Western Conifer Seed Bug"/>
    <s v="species"/>
    <x v="1"/>
    <s v="Arthropoda"/>
    <s v="Insecta"/>
    <s v="Hemiptera"/>
    <s v="Coreidae"/>
    <s v="Leptoglossus"/>
    <s v="SE442169"/>
    <s v="SE"/>
    <s v="SE41"/>
    <s v="SE41N"/>
    <s v="SE4416"/>
    <n v="5"/>
  </r>
  <r>
    <n v="49512905"/>
    <d v="2026-02-04T00:00:00"/>
    <n v="4"/>
    <x v="0"/>
    <n v="2026"/>
    <s v="dr2141"/>
    <s v="British Bryological Society"/>
    <s v="dp74"/>
    <s v="Atrichum undulatum"/>
    <s v="Common Smoothcap"/>
    <s v="species"/>
    <x v="0"/>
    <s v="Bryophyta"/>
    <s v="Polytrichopsida"/>
    <s v="Polytrichales"/>
    <s v="Polytrichaceae"/>
    <s v="Atrichum"/>
    <s v="SD96592655"/>
    <s v="SD"/>
    <s v="SD92"/>
    <s v="SD92T"/>
    <s v="SD9626"/>
    <n v="7"/>
  </r>
  <r>
    <n v="49518272"/>
    <d v="2026-01-28T00:00:00"/>
    <n v="28"/>
    <x v="1"/>
    <n v="2026"/>
    <s v="dr2141"/>
    <s v="British Bryological Society"/>
    <s v="dp74"/>
    <s v="Plagiothecium undulatum"/>
    <s v="Waved Silk-moss"/>
    <s v="species"/>
    <x v="0"/>
    <s v="Bryophyta"/>
    <s v="Bryopsida"/>
    <s v="Hypnales"/>
    <s v="Plagiotheciaceae"/>
    <s v="Plagiothecium"/>
    <s v="SE01091995"/>
    <s v="SE"/>
    <s v="SE01"/>
    <s v="SE01E"/>
    <s v="SE0119"/>
    <n v="9"/>
  </r>
  <r>
    <n v="49512178"/>
    <d v="2026-02-04T00:00:00"/>
    <n v="4"/>
    <x v="0"/>
    <n v="2026"/>
    <s v="dr2141"/>
    <s v="British Bryological Society"/>
    <s v="dp74"/>
    <s v="Thuidium tamariscinum"/>
    <s v="Common Tamarisk-moss"/>
    <s v="species"/>
    <x v="0"/>
    <s v="Bryophyta"/>
    <s v="Bryopsida"/>
    <s v="Hypnales"/>
    <s v="Thuidiaceae"/>
    <s v="Thuidium"/>
    <s v="SD96622648"/>
    <s v="SD"/>
    <s v="SD92"/>
    <s v="SD92T"/>
    <s v="SD9626"/>
    <n v="3"/>
  </r>
  <r>
    <n v="49323238"/>
    <d v="2026-02-01T00:00:00"/>
    <n v="1"/>
    <x v="0"/>
    <n v="2026"/>
    <s v="dr2141"/>
    <s v="British Bryological Society"/>
    <s v="dp74"/>
    <s v="Pseudoscleropodium purum"/>
    <s v="Neat Feather-moss"/>
    <s v="species"/>
    <x v="0"/>
    <s v="Bryophyta"/>
    <s v="Bryopsida"/>
    <s v="Hypnales"/>
    <s v="Brachytheciaceae"/>
    <s v="Pseudoscleropodium"/>
    <s v="SE25252319"/>
    <s v="SE"/>
    <s v="SE22"/>
    <s v="SE22L"/>
    <s v="SE2523"/>
    <n v="2"/>
  </r>
  <r>
    <n v="48653540"/>
    <d v="2026-01-14T00:00:00"/>
    <n v="14"/>
    <x v="1"/>
    <n v="2026"/>
    <s v="dr2141"/>
    <s v="British Bryological Society"/>
    <s v="dp74"/>
    <s v="Polytrichum strictum"/>
    <s v="Strict Haircap"/>
    <s v="species"/>
    <x v="0"/>
    <s v="Bryophyta"/>
    <s v="Polytrichopsida"/>
    <s v="Polytrichales"/>
    <s v="Polytrichaceae"/>
    <s v="Polytrichum"/>
    <s v="SD91852853"/>
    <s v="SD"/>
    <s v="SD92"/>
    <s v="SD92E"/>
    <s v="SD9128"/>
    <n v="6"/>
  </r>
  <r>
    <n v="48915866"/>
    <d v="2026-01-26T00:00:00"/>
    <n v="26"/>
    <x v="1"/>
    <n v="2026"/>
    <s v="dr2141"/>
    <s v="British Bryological Society"/>
    <s v="dp74"/>
    <s v="Kindbergia praelonga"/>
    <s v="Common Feather-moss"/>
    <s v="species"/>
    <x v="0"/>
    <s v="Bryophyta"/>
    <s v="Bryopsida"/>
    <s v="Hypnales"/>
    <s v="Brachytheciaceae"/>
    <s v="Kindbergia"/>
    <s v="SE07352131"/>
    <s v="SE"/>
    <s v="SE02"/>
    <s v="SE02Q"/>
    <s v="SE0721"/>
    <n v="5"/>
  </r>
  <r>
    <n v="50032453"/>
    <d v="2026-02-15T00:00:00"/>
    <n v="15"/>
    <x v="0"/>
    <n v="2026"/>
    <s v="dr2141"/>
    <s v="British Bryological Society"/>
    <s v="dp74"/>
    <s v="Grimmia pulvinata"/>
    <s v="Grey-cushioned Grimmia"/>
    <s v="species"/>
    <x v="0"/>
    <s v="Bryophyta"/>
    <s v="Bryopsida"/>
    <s v="Grimmiales"/>
    <s v="Grimmiaceae"/>
    <s v="Grimmia"/>
    <s v="SK324818"/>
    <s v="SK"/>
    <s v="SK38"/>
    <s v="SK38F"/>
    <s v="SK3281"/>
    <n v="8"/>
  </r>
  <r>
    <n v="48902685"/>
    <d v="2026-01-25T00:00:00"/>
    <n v="25"/>
    <x v="1"/>
    <n v="2026"/>
    <s v="dr736"/>
    <s v="Biological Records Centre"/>
    <s v="dp77"/>
    <s v="Adalia decempunctata"/>
    <s v="10-spot Ladybird"/>
    <s v="species"/>
    <x v="1"/>
    <s v="Arthropoda"/>
    <s v="Insecta"/>
    <s v="Coleoptera"/>
    <s v="Coccinellidae"/>
    <s v="Adalia"/>
    <s v="SD97880344"/>
    <s v="SD"/>
    <s v="SD90"/>
    <s v="SD90R"/>
    <s v="SD9703"/>
    <n v="9"/>
  </r>
  <r>
    <n v="49620067"/>
    <d v="2026-02-06T00:00:00"/>
    <n v="6"/>
    <x v="0"/>
    <n v="2026"/>
    <s v="dr2141"/>
    <s v="British Bryological Society"/>
    <s v="dp74"/>
    <s v="Hypnum jutlandicum"/>
    <s v="Heath Plait-moss"/>
    <s v="species"/>
    <x v="0"/>
    <s v="Bryophyta"/>
    <s v="Bryopsida"/>
    <s v="Hypnales"/>
    <s v="Hypnaceae"/>
    <s v="Hypnum"/>
    <s v="SE08332018"/>
    <s v="SE"/>
    <s v="SE02"/>
    <s v="SE02V"/>
    <s v="SE0820"/>
    <n v="0"/>
  </r>
  <r>
    <n v="50031382"/>
    <d v="2026-02-14T00:00:00"/>
    <n v="14"/>
    <x v="0"/>
    <n v="2026"/>
    <s v="dr1215"/>
    <s v="Terrestrial Heteroptera Recording Scheme (Shieldbugs &amp; allied species)"/>
    <s v="dp108"/>
    <s v="Acanthosoma haemorrhoidale"/>
    <s v="Hawthorn Shieldbug"/>
    <s v="species"/>
    <x v="1"/>
    <s v="Arthropoda"/>
    <s v="Insecta"/>
    <s v="Hemiptera"/>
    <s v="Acanthosomatidae"/>
    <s v="Acanthosoma"/>
    <s v="SE05052366"/>
    <s v="SE"/>
    <s v="SE02"/>
    <s v="SE02L"/>
    <s v="SE0523"/>
    <n v="1"/>
  </r>
  <r>
    <n v="49724513"/>
    <d v="2026-02-03T00:00:00"/>
    <n v="3"/>
    <x v="0"/>
    <n v="2026"/>
    <s v="dr2141"/>
    <s v="British Bryological Society"/>
    <s v="dp74"/>
    <s v="Racomitrium aciculare"/>
    <s v="Yellow Fringe-moss"/>
    <s v="species"/>
    <x v="0"/>
    <s v="Bryophyta"/>
    <s v="Bryopsida"/>
    <s v="Grimmiales"/>
    <s v="Grimmiaceae"/>
    <s v="Racomitrium"/>
    <s v="SE11463478"/>
    <s v="SE"/>
    <s v="SE13"/>
    <s v="SE13C"/>
    <s v="SE1134"/>
    <n v="0"/>
  </r>
  <r>
    <n v="49889531"/>
    <d v="2026-02-11T00:00:00"/>
    <n v="11"/>
    <x v="0"/>
    <n v="2026"/>
    <s v="dr2141"/>
    <s v="British Bryological Society"/>
    <s v="dp74"/>
    <s v="Marchantia polymorpha"/>
    <s v="Common Liverwort"/>
    <s v="species"/>
    <x v="0"/>
    <s v="Marchantiophyta"/>
    <s v="Marchantiopsida"/>
    <s v="Marchantiales"/>
    <s v="Marchantiaceae"/>
    <s v="Marchantia"/>
    <s v="SK361876"/>
    <s v="SK"/>
    <s v="SK38"/>
    <s v="SK38T"/>
    <s v="SK3687"/>
    <n v="1"/>
  </r>
  <r>
    <n v="48912686"/>
    <d v="2026-01-26T00:00:00"/>
    <n v="26"/>
    <x v="1"/>
    <n v="2026"/>
    <s v="dr2141"/>
    <s v="British Bryological Society"/>
    <s v="dp74"/>
    <s v="Lunularia cruciata"/>
    <s v="Crescent-cup Liverwort"/>
    <s v="species"/>
    <x v="0"/>
    <s v="Marchantiophyta"/>
    <s v="Marchantiopsida"/>
    <s v="Lunulariales"/>
    <s v="Lunulariaceae"/>
    <s v="Lunularia"/>
    <s v="SE07352131"/>
    <s v="SE"/>
    <s v="SE02"/>
    <s v="SE02Q"/>
    <s v="SE0721"/>
    <n v="1"/>
  </r>
  <r>
    <n v="50032108"/>
    <d v="2026-02-15T00:00:00"/>
    <n v="15"/>
    <x v="0"/>
    <n v="2026"/>
    <s v="dr2141"/>
    <s v="British Bryological Society"/>
    <s v="dp74"/>
    <s v="Atrichum undulatum"/>
    <s v="Common Smoothcap"/>
    <s v="species"/>
    <x v="0"/>
    <s v="Bryophyta"/>
    <s v="Polytrichopsida"/>
    <s v="Polytrichales"/>
    <s v="Polytrichaceae"/>
    <s v="Atrichum"/>
    <s v="SK320819"/>
    <s v="SK"/>
    <s v="SK38"/>
    <s v="SK38F"/>
    <s v="SK3281"/>
    <n v="1"/>
  </r>
  <r>
    <n v="48599964"/>
    <d v="2026-01-08T00:00:00"/>
    <n v="8"/>
    <x v="1"/>
    <n v="2026"/>
    <s v="dr2141"/>
    <s v="British Bryological Society"/>
    <s v="dp74"/>
    <s v="Polytrichum piliferum"/>
    <s v="Bristly Haircap"/>
    <s v="species"/>
    <x v="0"/>
    <s v="Bryophyta"/>
    <s v="Polytrichopsida"/>
    <s v="Polytrichales"/>
    <s v="Polytrichaceae"/>
    <s v="Polytrichum"/>
    <s v="SD9719"/>
    <s v="SD"/>
    <s v="SD91"/>
    <s v="SD91U"/>
    <s v="SD9719"/>
    <n v="0"/>
  </r>
  <r>
    <n v="49512913"/>
    <d v="2026-02-04T00:00:00"/>
    <n v="4"/>
    <x v="0"/>
    <n v="2026"/>
    <s v="dr2141"/>
    <s v="British Bryological Society"/>
    <s v="dp74"/>
    <s v="Plagiomnium undulatum"/>
    <s v="Hart's-tongue Thyme-moss"/>
    <s v="species"/>
    <x v="0"/>
    <s v="Bryophyta"/>
    <s v="Bryopsida"/>
    <s v="Bryales"/>
    <s v="Mniaceae"/>
    <s v="Plagiomnium"/>
    <s v="SD96432673"/>
    <s v="SD"/>
    <s v="SD92"/>
    <s v="SD92T"/>
    <s v="SD9626"/>
    <n v="2"/>
  </r>
  <r>
    <n v="50355879"/>
    <d v="2026-02-24T00:00:00"/>
    <n v="24"/>
    <x v="0"/>
    <n v="2026"/>
    <s v="dr736"/>
    <s v="Biological Records Centre"/>
    <s v="dp77"/>
    <s v="Coccinella septempunctata"/>
    <s v="7-spot Ladybird"/>
    <s v="species"/>
    <x v="1"/>
    <s v="Arthropoda"/>
    <s v="Insecta"/>
    <s v="Coleoptera"/>
    <s v="Coccinellidae"/>
    <s v="Coccinella"/>
    <s v="SK31298521"/>
    <s v="SK"/>
    <s v="SK38"/>
    <s v="SK38C"/>
    <s v="SK3185"/>
    <n v="3"/>
  </r>
  <r>
    <n v="48667269"/>
    <d v="2026-01-15T00:00:00"/>
    <n v="15"/>
    <x v="1"/>
    <n v="2026"/>
    <s v="dr2141"/>
    <s v="British Bryological Society"/>
    <s v="dp74"/>
    <s v="Thuidium tamariscinum"/>
    <s v="Common Tamarisk-moss"/>
    <s v="species"/>
    <x v="0"/>
    <s v="Bryophyta"/>
    <s v="Bryopsida"/>
    <s v="Hypnales"/>
    <s v="Thuidiaceae"/>
    <s v="Thuidium"/>
    <s v="SE070169"/>
    <s v="SE"/>
    <s v="SE01"/>
    <s v="SE01T"/>
    <s v="SE0716"/>
    <n v="4"/>
  </r>
  <r>
    <n v="49962480"/>
    <d v="2026-02-12T00:00:00"/>
    <n v="12"/>
    <x v="0"/>
    <n v="2026"/>
    <s v="dr2141"/>
    <s v="British Bryological Society"/>
    <s v="dp74"/>
    <s v="Pseudoscleropodium purum"/>
    <s v="Neat Feather-moss"/>
    <s v="species"/>
    <x v="0"/>
    <s v="Bryophyta"/>
    <s v="Bryopsida"/>
    <s v="Hypnales"/>
    <s v="Brachytheciaceae"/>
    <s v="Pseudoscleropodium"/>
    <s v="SE137206"/>
    <s v="SE"/>
    <s v="SE12"/>
    <s v="SE12F"/>
    <s v="SE1320"/>
    <n v="5"/>
  </r>
  <r>
    <n v="49671645"/>
    <d v="2026-02-09T00:00:00"/>
    <n v="9"/>
    <x v="0"/>
    <n v="2026"/>
    <s v="dr2141"/>
    <s v="British Bryological Society"/>
    <s v="dp74"/>
    <s v="Pseudoscleropodium purum"/>
    <s v="Neat Feather-moss"/>
    <s v="species"/>
    <x v="0"/>
    <s v="Bryophyta"/>
    <s v="Bryopsida"/>
    <s v="Hypnales"/>
    <s v="Brachytheciaceae"/>
    <s v="Pseudoscleropodium"/>
    <s v="SE10772662"/>
    <s v="SE"/>
    <s v="SE12"/>
    <s v="SE12D"/>
    <s v="SE1026"/>
    <n v="6"/>
  </r>
  <r>
    <n v="49303286"/>
    <d v="2026-01-31T00:00:00"/>
    <n v="31"/>
    <x v="1"/>
    <n v="2026"/>
    <s v="dr2141"/>
    <s v="British Bryological Society"/>
    <s v="dp74"/>
    <s v="Racomitrium fasciculare"/>
    <s v="Green Mountain Fringe-moss"/>
    <s v="species"/>
    <x v="0"/>
    <s v="Bryophyta"/>
    <s v="Bryopsida"/>
    <s v="Grimmiales"/>
    <s v="Grimmiaceae"/>
    <s v="Racomitrium"/>
    <s v="SD99741728"/>
    <s v="SD"/>
    <s v="SD91"/>
    <s v="SD91Y"/>
    <s v="SD9917"/>
    <n v="8"/>
  </r>
  <r>
    <n v="49303283"/>
    <d v="2026-01-31T00:00:00"/>
    <n v="31"/>
    <x v="1"/>
    <n v="2026"/>
    <s v="dr2141"/>
    <s v="British Bryological Society"/>
    <s v="dp74"/>
    <s v="Thuidium tamariscinum"/>
    <s v="Common Tamarisk-moss"/>
    <s v="species"/>
    <x v="0"/>
    <s v="Bryophyta"/>
    <s v="Bryopsida"/>
    <s v="Hypnales"/>
    <s v="Thuidiaceae"/>
    <s v="Thuidium"/>
    <s v="SD99861758"/>
    <s v="SD"/>
    <s v="SD91"/>
    <s v="SD91Y"/>
    <s v="SD9917"/>
    <n v="9"/>
  </r>
  <r>
    <n v="48789129"/>
    <d v="2026-01-24T00:00:00"/>
    <n v="24"/>
    <x v="1"/>
    <n v="2026"/>
    <s v="dr736"/>
    <s v="Biological Records Centre"/>
    <s v="dp77"/>
    <s v="Halyzia sedecimguttata"/>
    <s v="Orange Ladybird"/>
    <s v="species"/>
    <x v="1"/>
    <s v="Arthropoda"/>
    <s v="Insecta"/>
    <s v="Coleoptera"/>
    <s v="Coccinellidae"/>
    <s v="Halyzia"/>
    <s v="SK310851"/>
    <s v="SK"/>
    <s v="SK38"/>
    <s v="SK38C"/>
    <s v="SK3185"/>
    <n v="5"/>
  </r>
  <r>
    <n v="49303290"/>
    <d v="2026-01-31T00:00:00"/>
    <n v="31"/>
    <x v="1"/>
    <n v="2026"/>
    <s v="dr2141"/>
    <s v="British Bryological Society"/>
    <s v="dp74"/>
    <s v="Aulacomnium palustre"/>
    <s v="Bog Groove-moss"/>
    <s v="species"/>
    <x v="0"/>
    <s v="Bryophyta"/>
    <s v="Bryopsida"/>
    <s v="Aulacomniales"/>
    <s v="Aulacomniaceae"/>
    <s v="Aulacomnium"/>
    <s v="SE00411708"/>
    <s v="SE"/>
    <s v="SE01"/>
    <s v="SE01D"/>
    <s v="SE0017"/>
    <n v="2"/>
  </r>
  <r>
    <n v="49514957"/>
    <d v="2026-02-04T00:00:00"/>
    <n v="4"/>
    <x v="0"/>
    <n v="2026"/>
    <s v="dr2141"/>
    <s v="British Bryological Society"/>
    <s v="dp74"/>
    <s v="Calliergonella cuspidata"/>
    <s v="Pointed Spear-moss"/>
    <s v="species"/>
    <x v="0"/>
    <s v="Bryophyta"/>
    <s v="Bryopsida"/>
    <s v="Hypnales"/>
    <s v="Pylaisiaceae"/>
    <s v="Calliergonella"/>
    <s v="SD96922633"/>
    <s v="SD"/>
    <s v="SD92"/>
    <s v="SD92T"/>
    <s v="SD9626"/>
    <n v="1"/>
  </r>
  <r>
    <n v="50023794"/>
    <d v="2026-02-13T00:00:00"/>
    <n v="13"/>
    <x v="0"/>
    <n v="2026"/>
    <s v="dr2141"/>
    <s v="British Bryological Society"/>
    <s v="dp74"/>
    <s v="Syntrichia montana"/>
    <s v="Intermediate Screw-moss"/>
    <s v="species"/>
    <x v="0"/>
    <s v="Bryophyta"/>
    <s v="Bryopsida"/>
    <s v="Dicranales"/>
    <s v="Pottiaceae"/>
    <s v="Syntrichia"/>
    <s v="SK352850"/>
    <s v="SK"/>
    <s v="SK38"/>
    <s v="SK38M"/>
    <s v="SK3585"/>
    <n v="4"/>
  </r>
  <r>
    <n v="49298810"/>
    <d v="2026-01-31T00:00:00"/>
    <n v="31"/>
    <x v="1"/>
    <n v="2026"/>
    <s v="dr2141"/>
    <s v="British Bryological Society"/>
    <s v="dp74"/>
    <s v="Hylocomium splendens"/>
    <s v="Glittering Wood-moss"/>
    <s v="species"/>
    <x v="0"/>
    <s v="Bryophyta"/>
    <s v="Bryopsida"/>
    <s v="Hypnales"/>
    <s v="Hylocomiaceae"/>
    <s v="Hylocomium"/>
    <s v="SD99861758"/>
    <s v="SD"/>
    <s v="SD91"/>
    <s v="SD91Y"/>
    <s v="SD9917"/>
    <n v="6"/>
  </r>
  <r>
    <n v="49303285"/>
    <d v="2026-01-31T00:00:00"/>
    <n v="31"/>
    <x v="1"/>
    <n v="2026"/>
    <s v="dr2141"/>
    <s v="British Bryological Society"/>
    <s v="dp74"/>
    <s v="Kindbergia praelonga"/>
    <s v="Common Feather-moss"/>
    <s v="species"/>
    <x v="0"/>
    <s v="Bryophyta"/>
    <s v="Bryopsida"/>
    <s v="Hypnales"/>
    <s v="Brachytheciaceae"/>
    <s v="Kindbergia"/>
    <s v="SD99841747"/>
    <s v="SD"/>
    <s v="SD91"/>
    <s v="SD91Y"/>
    <s v="SD9917"/>
    <n v="8"/>
  </r>
  <r>
    <n v="49620074"/>
    <d v="2026-02-06T00:00:00"/>
    <n v="6"/>
    <x v="0"/>
    <n v="2026"/>
    <s v="dr2141"/>
    <s v="British Bryological Society"/>
    <s v="dp74"/>
    <s v="Thuidium tamariscinum"/>
    <s v="Common Tamarisk-moss"/>
    <s v="species"/>
    <x v="0"/>
    <s v="Bryophyta"/>
    <s v="Bryopsida"/>
    <s v="Hypnales"/>
    <s v="Thuidiaceae"/>
    <s v="Thuidium"/>
    <s v="SE07942009"/>
    <s v="SE"/>
    <s v="SE02"/>
    <s v="SE02Q"/>
    <s v="SE0720"/>
    <n v="7"/>
  </r>
  <r>
    <n v="49323240"/>
    <d v="2026-02-01T00:00:00"/>
    <n v="1"/>
    <x v="0"/>
    <n v="2026"/>
    <s v="dr2141"/>
    <s v="British Bryological Society"/>
    <s v="dp74"/>
    <s v="Rhytidiadelphus squarrosus"/>
    <s v="Springy Turf-moss"/>
    <s v="species"/>
    <x v="0"/>
    <s v="Bryophyta"/>
    <s v="Bryopsida"/>
    <s v="Hypnales"/>
    <s v="Hylocomiaceae"/>
    <s v="Rhytidiadelphus"/>
    <s v="SE25202315"/>
    <s v="SE"/>
    <s v="SE22"/>
    <s v="SE22L"/>
    <s v="SE2523"/>
    <n v="9"/>
  </r>
  <r>
    <n v="48995013"/>
    <d v="2026-01-23T00:00:00"/>
    <n v="23"/>
    <x v="1"/>
    <n v="2026"/>
    <s v="dr2141"/>
    <s v="British Bryological Society"/>
    <s v="dp74"/>
    <s v="Polytrichum piliferum"/>
    <s v="Bristly Haircap"/>
    <s v="species"/>
    <x v="0"/>
    <s v="Bryophyta"/>
    <s v="Polytrichopsida"/>
    <s v="Polytrichales"/>
    <s v="Polytrichaceae"/>
    <s v="Polytrichum"/>
    <s v="SE11922035"/>
    <s v="SE"/>
    <s v="SE12"/>
    <s v="SE12A"/>
    <s v="SE1120"/>
    <n v="9"/>
  </r>
  <r>
    <n v="49620072"/>
    <d v="2026-02-06T00:00:00"/>
    <n v="6"/>
    <x v="0"/>
    <n v="2026"/>
    <s v="dr2141"/>
    <s v="British Bryological Society"/>
    <s v="dp74"/>
    <s v="Rhytidiadelphus squarrosus"/>
    <s v="Springy Turf-moss"/>
    <s v="species"/>
    <x v="0"/>
    <s v="Bryophyta"/>
    <s v="Bryopsida"/>
    <s v="Hypnales"/>
    <s v="Hylocomiaceae"/>
    <s v="Rhytidiadelphus"/>
    <s v="SE08222013"/>
    <s v="SE"/>
    <s v="SE02"/>
    <s v="SE02V"/>
    <s v="SE0820"/>
    <n v="0"/>
  </r>
  <r>
    <n v="49298816"/>
    <d v="2026-01-31T00:00:00"/>
    <n v="31"/>
    <x v="1"/>
    <n v="2026"/>
    <s v="dr2141"/>
    <s v="British Bryological Society"/>
    <s v="dp74"/>
    <s v="Pseudoscleropodium purum"/>
    <s v="Neat Feather-moss"/>
    <s v="species"/>
    <x v="0"/>
    <s v="Bryophyta"/>
    <s v="Bryopsida"/>
    <s v="Hypnales"/>
    <s v="Brachytheciaceae"/>
    <s v="Pseudoscleropodium"/>
    <s v="SD99871722"/>
    <s v="SD"/>
    <s v="SD91"/>
    <s v="SD91Y"/>
    <s v="SD9917"/>
    <n v="2"/>
  </r>
  <r>
    <n v="49642037"/>
    <d v="2026-01-31T00:00:00"/>
    <n v="31"/>
    <x v="1"/>
    <n v="2026"/>
    <s v="dr736"/>
    <s v="Biological Records Centre"/>
    <s v="dp77"/>
    <s v="Tytthaspis sedecimpunctata"/>
    <s v="16-spot Ladybird"/>
    <s v="species"/>
    <x v="1"/>
    <s v="Arthropoda"/>
    <s v="Insecta"/>
    <s v="Coleoptera"/>
    <s v="Coccinellidae"/>
    <s v="Tytthaspis"/>
    <s v="SK452993"/>
    <s v="SK"/>
    <s v="SK49"/>
    <s v="SK49P"/>
    <s v="SK4599"/>
    <n v="5"/>
  </r>
  <r>
    <n v="49513293"/>
    <d v="2026-02-04T00:00:00"/>
    <n v="4"/>
    <x v="0"/>
    <n v="2026"/>
    <s v="dr2141"/>
    <s v="British Bryological Society"/>
    <s v="dp74"/>
    <s v="Mnium hornum"/>
    <s v="Swan's-neck Thyme-moss"/>
    <s v="species"/>
    <x v="0"/>
    <s v="Bryophyta"/>
    <s v="Bryopsida"/>
    <s v="Bryales"/>
    <s v="Mniaceae"/>
    <s v="Mnium"/>
    <s v="SD9626"/>
    <s v="SD"/>
    <s v="SD92"/>
    <s v="SD92T"/>
    <s v="SD9626"/>
    <n v="7"/>
  </r>
  <r>
    <n v="49303953"/>
    <d v="2026-02-01T00:00:00"/>
    <n v="1"/>
    <x v="0"/>
    <n v="2026"/>
    <s v="dr2141"/>
    <s v="British Bryological Society"/>
    <s v="dp74"/>
    <s v="Brachythecium rutabulum"/>
    <s v="Rough-stalked Feather-moss"/>
    <s v="species"/>
    <x v="0"/>
    <s v="Bryophyta"/>
    <s v="Bryopsida"/>
    <s v="Hypnales"/>
    <s v="Brachytheciaceae"/>
    <s v="Brachythecium"/>
    <s v="SK29239019"/>
    <s v="SK"/>
    <s v="SK29"/>
    <s v="SK29V"/>
    <s v="SK2990"/>
    <n v="9"/>
  </r>
  <r>
    <n v="50023786"/>
    <d v="2026-02-13T00:00:00"/>
    <n v="13"/>
    <x v="0"/>
    <n v="2026"/>
    <s v="dr2141"/>
    <s v="British Bryological Society"/>
    <s v="dp74"/>
    <s v="Grimmia pulvinata"/>
    <s v="Grey-cushioned Grimmia"/>
    <s v="species"/>
    <x v="0"/>
    <s v="Bryophyta"/>
    <s v="Bryopsida"/>
    <s v="Grimmiales"/>
    <s v="Grimmiaceae"/>
    <s v="Grimmia"/>
    <s v="SK352850"/>
    <s v="SK"/>
    <s v="SK38"/>
    <s v="SK38M"/>
    <s v="SK3585"/>
    <n v="3"/>
  </r>
  <r>
    <n v="49733082"/>
    <d v="2026-02-09T00:00:00"/>
    <n v="9"/>
    <x v="0"/>
    <n v="2026"/>
    <s v="dr2451"/>
    <s v="Mammal Society"/>
    <s v="dp8"/>
    <s v="Micromys minutus"/>
    <s v="Harvest Mouse"/>
    <s v="species"/>
    <x v="1"/>
    <s v="Chordata"/>
    <s v="Mammalia"/>
    <s v="Rodentia"/>
    <s v="Cricetidae"/>
    <s v="Micromys"/>
    <s v="SE643173"/>
    <s v="SE"/>
    <s v="SE61"/>
    <s v="SE61N"/>
    <s v="SE6417"/>
    <n v="2"/>
  </r>
  <r>
    <n v="49889539"/>
    <d v="2026-02-11T00:00:00"/>
    <n v="11"/>
    <x v="0"/>
    <n v="2026"/>
    <s v="dr2141"/>
    <s v="British Bryological Society"/>
    <s v="dp74"/>
    <s v="Tortula muralis"/>
    <s v="Wall Screw-moss"/>
    <s v="species"/>
    <x v="0"/>
    <s v="Bryophyta"/>
    <s v="Bryopsida"/>
    <s v="Dicranales"/>
    <s v="Pottiaceae"/>
    <s v="Tortula"/>
    <s v="SK362877"/>
    <s v="SK"/>
    <s v="SK38"/>
    <s v="SK38T"/>
    <s v="SK3687"/>
    <n v="6"/>
  </r>
  <r>
    <n v="49304150"/>
    <d v="2026-02-01T00:00:00"/>
    <n v="1"/>
    <x v="0"/>
    <n v="2026"/>
    <s v="dr2141"/>
    <s v="British Bryological Society"/>
    <s v="dp74"/>
    <s v="Grimmia pulvinata"/>
    <s v="Grey-cushioned Grimmia"/>
    <s v="species"/>
    <x v="0"/>
    <s v="Bryophyta"/>
    <s v="Bryopsida"/>
    <s v="Grimmiales"/>
    <s v="Grimmiaceae"/>
    <s v="Grimmia"/>
    <s v="SK28699048"/>
    <s v="SK"/>
    <s v="SK29"/>
    <s v="SK29V"/>
    <s v="SK2890"/>
    <n v="5"/>
  </r>
  <r>
    <n v="48742841"/>
    <d v="2026-01-21T00:00:00"/>
    <n v="21"/>
    <x v="1"/>
    <n v="2026"/>
    <s v="dr2141"/>
    <s v="British Bryological Society"/>
    <s v="dp74"/>
    <s v="Atrichum undulatum"/>
    <s v="Common Smoothcap"/>
    <s v="species"/>
    <x v="0"/>
    <s v="Bryophyta"/>
    <s v="Polytrichopsida"/>
    <s v="Polytrichales"/>
    <s v="Polytrichaceae"/>
    <s v="Atrichum"/>
    <s v="SE07842399"/>
    <s v="SE"/>
    <s v="SE02"/>
    <s v="SE02R"/>
    <s v="SE0723"/>
    <n v="8"/>
  </r>
  <r>
    <n v="49888484"/>
    <d v="2026-02-11T00:00:00"/>
    <n v="11"/>
    <x v="0"/>
    <n v="2026"/>
    <s v="dr2141"/>
    <s v="British Bryological Society"/>
    <s v="dp74"/>
    <s v="Thamnobryum alopecurum"/>
    <s v="Fox-tail Feather-moss"/>
    <s v="species"/>
    <x v="0"/>
    <s v="Bryophyta"/>
    <s v="Bryopsida"/>
    <s v="Hypnales"/>
    <s v="Neckeraceae"/>
    <s v="Thamnobryum"/>
    <s v="SE065269"/>
    <s v="SE"/>
    <s v="SE02"/>
    <s v="SE02T"/>
    <s v="SE0626"/>
    <n v="9"/>
  </r>
  <r>
    <n v="49303287"/>
    <d v="2026-01-31T00:00:00"/>
    <n v="31"/>
    <x v="1"/>
    <n v="2026"/>
    <s v="dr2141"/>
    <s v="British Bryological Society"/>
    <s v="dp74"/>
    <s v="Dicranoweisia cirrata"/>
    <s v="Common Pincushion"/>
    <s v="species"/>
    <x v="0"/>
    <s v="Bryophyta"/>
    <s v="Bryopsida"/>
    <s v="Dicranales"/>
    <s v="Rhabdoweisiaceae"/>
    <s v="Dicranoweisia"/>
    <s v="SD99751727"/>
    <s v="SD"/>
    <s v="SD91"/>
    <s v="SD91Y"/>
    <s v="SD9917"/>
    <n v="0"/>
  </r>
  <r>
    <n v="48675302"/>
    <d v="2026-01-16T00:00:00"/>
    <n v="16"/>
    <x v="1"/>
    <n v="2026"/>
    <s v="dr2141"/>
    <s v="British Bryological Society"/>
    <s v="dp74"/>
    <s v="Kindbergia praelonga"/>
    <s v="Common Feather-moss"/>
    <s v="species"/>
    <x v="0"/>
    <s v="Bryophyta"/>
    <s v="Bryopsida"/>
    <s v="Hypnales"/>
    <s v="Brachytheciaceae"/>
    <s v="Kindbergia"/>
    <s v="SE01952434"/>
    <s v="SE"/>
    <s v="SE02"/>
    <s v="SE02C"/>
    <s v="SE0124"/>
    <n v="1"/>
  </r>
  <r>
    <n v="49888487"/>
    <d v="2026-02-11T00:00:00"/>
    <n v="11"/>
    <x v="0"/>
    <n v="2026"/>
    <s v="dr2141"/>
    <s v="British Bryological Society"/>
    <s v="dp74"/>
    <s v="Plagiomnium undulatum"/>
    <s v="Hart's-tongue Thyme-moss"/>
    <s v="species"/>
    <x v="0"/>
    <s v="Bryophyta"/>
    <s v="Bryopsida"/>
    <s v="Bryales"/>
    <s v="Mniaceae"/>
    <s v="Plagiomnium"/>
    <s v="SE06612694"/>
    <s v="SE"/>
    <s v="SE02"/>
    <s v="SE02T"/>
    <s v="SE0626"/>
    <n v="0"/>
  </r>
  <r>
    <n v="48995015"/>
    <d v="2026-01-23T00:00:00"/>
    <n v="23"/>
    <x v="1"/>
    <n v="2026"/>
    <s v="dr2141"/>
    <s v="British Bryological Society"/>
    <s v="dp74"/>
    <s v="Dicranum scoparium"/>
    <s v="Broom Fork-moss"/>
    <s v="species"/>
    <x v="0"/>
    <s v="Bryophyta"/>
    <s v="Bryopsida"/>
    <s v="Dicranales"/>
    <s v="Dicranaceae"/>
    <s v="Dicranum"/>
    <s v="SE11922037"/>
    <s v="SE"/>
    <s v="SE12"/>
    <s v="SE12A"/>
    <s v="SE1120"/>
    <n v="1"/>
  </r>
  <r>
    <n v="50020361"/>
    <d v="2026-02-14T00:00:00"/>
    <n v="14"/>
    <x v="0"/>
    <n v="2026"/>
    <s v="dr2141"/>
    <s v="British Bryological Society"/>
    <s v="dp74"/>
    <s v="Rhytidiadelphus squarrosus"/>
    <s v="Springy Turf-moss"/>
    <s v="species"/>
    <x v="0"/>
    <s v="Bryophyta"/>
    <s v="Bryopsida"/>
    <s v="Hypnales"/>
    <s v="Hylocomiaceae"/>
    <s v="Rhytidiadelphus"/>
    <s v="SD93103342"/>
    <s v="SD"/>
    <s v="SD93"/>
    <s v="SD93G"/>
    <s v="SD9333"/>
    <n v="1"/>
  </r>
  <r>
    <n v="49724496"/>
    <d v="2026-01-28T00:00:00"/>
    <n v="28"/>
    <x v="1"/>
    <n v="2026"/>
    <s v="dr2141"/>
    <s v="British Bryological Society"/>
    <s v="dp74"/>
    <s v="Pseudoscleropodium purum"/>
    <s v="Neat Feather-moss"/>
    <s v="species"/>
    <x v="0"/>
    <s v="Bryophyta"/>
    <s v="Bryopsida"/>
    <s v="Hypnales"/>
    <s v="Brachytheciaceae"/>
    <s v="Pseudoscleropodium"/>
    <s v="SE01022051"/>
    <s v="SE"/>
    <s v="SE02"/>
    <s v="SE02A"/>
    <s v="SE0120"/>
    <n v="1"/>
  </r>
  <r>
    <n v="49724554"/>
    <d v="2026-02-08T00:00:00"/>
    <n v="8"/>
    <x v="0"/>
    <n v="2026"/>
    <s v="dr2141"/>
    <s v="British Bryological Society"/>
    <s v="dp74"/>
    <s v="Kindbergia praelonga"/>
    <s v="Common Feather-moss"/>
    <s v="species"/>
    <x v="0"/>
    <s v="Bryophyta"/>
    <s v="Bryopsida"/>
    <s v="Hypnales"/>
    <s v="Brachytheciaceae"/>
    <s v="Kindbergia"/>
    <s v="SE2724"/>
    <s v="SE"/>
    <s v="SE22"/>
    <s v="SE22S"/>
    <s v="SE2724"/>
    <n v="0"/>
  </r>
  <r>
    <n v="50326052"/>
    <d v="2026-02-22T00:00:00"/>
    <n v="22"/>
    <x v="0"/>
    <n v="2026"/>
    <s v="dr736"/>
    <s v="Biological Records Centre"/>
    <s v="dp77"/>
    <s v="Harmonia axyridis"/>
    <s v="Harlequin Ladybird"/>
    <s v="species"/>
    <x v="1"/>
    <s v="Arthropoda"/>
    <s v="Insecta"/>
    <s v="Coleoptera"/>
    <s v="Coccinellidae"/>
    <s v="Harmonia"/>
    <s v="SD987280"/>
    <s v="SD"/>
    <s v="SD92"/>
    <s v="SD92Z"/>
    <s v="SD9828"/>
    <n v="2"/>
  </r>
  <r>
    <n v="49622602"/>
    <d v="2026-01-31T00:00:00"/>
    <n v="31"/>
    <x v="1"/>
    <n v="2026"/>
    <s v="dr736"/>
    <s v="Biological Records Centre"/>
    <s v="dp77"/>
    <s v="Coccinella septempunctata"/>
    <s v="7-spot Ladybird"/>
    <s v="species"/>
    <x v="1"/>
    <s v="Arthropoda"/>
    <s v="Insecta"/>
    <s v="Coleoptera"/>
    <s v="Coccinellidae"/>
    <s v="Coccinella"/>
    <s v="SK452993"/>
    <s v="SK"/>
    <s v="SK49"/>
    <s v="SK49P"/>
    <s v="SK4599"/>
    <n v="3"/>
  </r>
  <r>
    <n v="49724559"/>
    <d v="2026-02-09T00:00:00"/>
    <n v="9"/>
    <x v="0"/>
    <n v="2026"/>
    <s v="dr2141"/>
    <s v="British Bryological Society"/>
    <s v="dp74"/>
    <s v="Thuidium tamariscinum"/>
    <s v="Common Tamarisk-moss"/>
    <s v="species"/>
    <x v="0"/>
    <s v="Bryophyta"/>
    <s v="Bryopsida"/>
    <s v="Hypnales"/>
    <s v="Thuidiaceae"/>
    <s v="Thuidium"/>
    <s v="SE10792659"/>
    <s v="SE"/>
    <s v="SE12"/>
    <s v="SE12D"/>
    <s v="SE1026"/>
    <n v="4"/>
  </r>
  <r>
    <n v="48914263"/>
    <d v="2026-01-24T00:00:00"/>
    <n v="24"/>
    <x v="1"/>
    <n v="2026"/>
    <s v="dr1215"/>
    <s v="Terrestrial Heteroptera Recording Scheme (Shieldbugs &amp; allied species)"/>
    <s v="dp108"/>
    <s v="Palomena prasina"/>
    <s v="Green Shieldbug"/>
    <s v="species"/>
    <x v="1"/>
    <s v="Arthropoda"/>
    <s v="Insecta"/>
    <s v="Hemiptera"/>
    <s v="Pentatomidae"/>
    <s v="Palomena"/>
    <s v="SK484969"/>
    <s v="SK"/>
    <s v="SK49"/>
    <s v="SK49Y"/>
    <s v="SK4896"/>
    <n v="5"/>
  </r>
  <r>
    <n v="49298817"/>
    <d v="2026-01-31T00:00:00"/>
    <n v="31"/>
    <x v="1"/>
    <n v="2026"/>
    <s v="dr2141"/>
    <s v="British Bryological Society"/>
    <s v="dp74"/>
    <s v="Aulacomnium palustre"/>
    <s v="Bog Groove-moss"/>
    <s v="species"/>
    <x v="0"/>
    <s v="Bryophyta"/>
    <s v="Bryopsida"/>
    <s v="Aulacomniales"/>
    <s v="Aulacomniaceae"/>
    <s v="Aulacomnium"/>
    <s v="SD99871722"/>
    <s v="SD"/>
    <s v="SD91"/>
    <s v="SD91Y"/>
    <s v="SD9917"/>
    <n v="6"/>
  </r>
  <r>
    <n v="49303280"/>
    <d v="2026-01-31T00:00:00"/>
    <n v="31"/>
    <x v="1"/>
    <n v="2026"/>
    <s v="dr2141"/>
    <s v="British Bryological Society"/>
    <s v="dp74"/>
    <s v="Hylocomium splendens"/>
    <s v="Glittering Wood-moss"/>
    <s v="species"/>
    <x v="0"/>
    <s v="Bryophyta"/>
    <s v="Bryopsida"/>
    <s v="Hypnales"/>
    <s v="Hylocomiaceae"/>
    <s v="Hylocomium"/>
    <s v="SE00771822"/>
    <s v="SE"/>
    <s v="SE01"/>
    <s v="SE01E"/>
    <s v="SE0018"/>
    <n v="8"/>
  </r>
  <r>
    <n v="49724512"/>
    <d v="2026-02-03T00:00:00"/>
    <n v="3"/>
    <x v="0"/>
    <n v="2026"/>
    <s v="dr2141"/>
    <s v="British Bryological Society"/>
    <s v="dp74"/>
    <s v="Fissidens taxifolius"/>
    <s v="Common Pocket-moss"/>
    <s v="species"/>
    <x v="0"/>
    <s v="Bryophyta"/>
    <s v="Bryopsida"/>
    <s v="Dicranales"/>
    <s v="Fissidentaceae"/>
    <s v="Fissidens"/>
    <s v="SE11693477"/>
    <s v="SE"/>
    <s v="SE13"/>
    <s v="SE13C"/>
    <s v="SE1134"/>
    <n v="9"/>
  </r>
  <r>
    <n v="49888481"/>
    <d v="2026-02-11T00:00:00"/>
    <n v="11"/>
    <x v="0"/>
    <n v="2026"/>
    <s v="dr2141"/>
    <s v="British Bryological Society"/>
    <s v="dp74"/>
    <s v="Hypnum jutlandicum"/>
    <s v="Heath Plait-moss"/>
    <s v="species"/>
    <x v="0"/>
    <s v="Bryophyta"/>
    <s v="Bryopsida"/>
    <s v="Hypnales"/>
    <s v="Hypnaceae"/>
    <s v="Hypnum"/>
    <s v="SE08472593"/>
    <s v="SE"/>
    <s v="SE02"/>
    <s v="SE02X"/>
    <s v="SE0825"/>
    <n v="5"/>
  </r>
  <r>
    <n v="49620075"/>
    <d v="2026-02-06T00:00:00"/>
    <n v="6"/>
    <x v="0"/>
    <n v="2026"/>
    <s v="dr2141"/>
    <s v="British Bryological Society"/>
    <s v="dp74"/>
    <s v="Mnium hornum"/>
    <s v="Swan's-neck Thyme-moss"/>
    <s v="species"/>
    <x v="0"/>
    <s v="Bryophyta"/>
    <s v="Bryopsida"/>
    <s v="Bryales"/>
    <s v="Mniaceae"/>
    <s v="Mnium"/>
    <s v="SE07501994"/>
    <s v="SE"/>
    <s v="SE01"/>
    <s v="SE01U"/>
    <s v="SE0719"/>
    <n v="2"/>
  </r>
  <r>
    <n v="50032426"/>
    <d v="2026-02-15T00:00:00"/>
    <n v="15"/>
    <x v="0"/>
    <n v="2026"/>
    <s v="dr2141"/>
    <s v="British Bryological Society"/>
    <s v="dp74"/>
    <s v="Hypnum cupressiforme"/>
    <s v="Cypress-leaved Plait-moss"/>
    <s v="species"/>
    <x v="0"/>
    <s v="Bryophyta"/>
    <s v="Bryopsida"/>
    <s v="Hypnales"/>
    <s v="Hypnaceae"/>
    <s v="Hypnum"/>
    <s v="SK324817"/>
    <s v="SK"/>
    <s v="SK38"/>
    <s v="SK38F"/>
    <s v="SK3281"/>
    <n v="1"/>
  </r>
  <r>
    <n v="48667260"/>
    <d v="2026-01-14T00:00:00"/>
    <n v="14"/>
    <x v="1"/>
    <n v="2026"/>
    <s v="dr2141"/>
    <s v="British Bryological Society"/>
    <s v="dp74"/>
    <s v="Rhytidiadelphus loreus"/>
    <s v="Little Shaggy-moss"/>
    <s v="species"/>
    <x v="0"/>
    <s v="Bryophyta"/>
    <s v="Bryopsida"/>
    <s v="Hypnales"/>
    <s v="Hylocomiaceae"/>
    <s v="Rhytidiadelphus"/>
    <s v="SD91422820"/>
    <s v="SD"/>
    <s v="SD92"/>
    <s v="SD92E"/>
    <s v="SD9128"/>
    <n v="4"/>
  </r>
  <r>
    <n v="48995012"/>
    <d v="2026-01-23T00:00:00"/>
    <n v="23"/>
    <x v="1"/>
    <n v="2026"/>
    <s v="dr2141"/>
    <s v="British Bryological Society"/>
    <s v="dp74"/>
    <s v="Pseudoscleropodium purum"/>
    <s v="Neat Feather-moss"/>
    <s v="species"/>
    <x v="0"/>
    <s v="Bryophyta"/>
    <s v="Bryopsida"/>
    <s v="Hypnales"/>
    <s v="Brachytheciaceae"/>
    <s v="Pseudoscleropodium"/>
    <s v="SE11792044"/>
    <s v="SE"/>
    <s v="SE12"/>
    <s v="SE12A"/>
    <s v="SE1120"/>
    <n v="6"/>
  </r>
  <r>
    <n v="49961901"/>
    <d v="2026-02-12T00:00:00"/>
    <n v="12"/>
    <x v="0"/>
    <n v="2026"/>
    <s v="dr2141"/>
    <s v="British Bryological Society"/>
    <s v="dp74"/>
    <s v="Syntrichia montana"/>
    <s v="Intermediate Screw-moss"/>
    <s v="species"/>
    <x v="0"/>
    <s v="Bryophyta"/>
    <s v="Bryopsida"/>
    <s v="Dicranales"/>
    <s v="Pottiaceae"/>
    <s v="Syntrichia"/>
    <s v="SK347873"/>
    <s v="SK"/>
    <s v="SK38"/>
    <s v="SK38N"/>
    <s v="SK3487"/>
    <n v="8"/>
  </r>
  <r>
    <n v="50031441"/>
    <d v="2026-02-14T00:00:00"/>
    <n v="14"/>
    <x v="0"/>
    <n v="2026"/>
    <s v="dr736"/>
    <s v="Biological Records Centre"/>
    <s v="dp77"/>
    <s v="Calvia quattuordecimguttata"/>
    <s v="Cream-spot Ladybird"/>
    <s v="species"/>
    <x v="1"/>
    <s v="Arthropoda"/>
    <s v="Insecta"/>
    <s v="Coleoptera"/>
    <s v="Coccinellidae"/>
    <s v="Calvia"/>
    <s v="SE05182364"/>
    <s v="SE"/>
    <s v="SE02"/>
    <s v="SE02L"/>
    <s v="SE0523"/>
    <n v="7"/>
  </r>
  <r>
    <n v="50084944"/>
    <d v="2026-02-18T00:00:00"/>
    <n v="18"/>
    <x v="0"/>
    <n v="2026"/>
    <s v="dr1215"/>
    <s v="Terrestrial Heteroptera Recording Scheme (Shieldbugs &amp; allied species)"/>
    <s v="dp108"/>
    <s v="Acanthosoma haemorrhoidale"/>
    <s v="Hawthorn Shieldbug"/>
    <s v="species"/>
    <x v="1"/>
    <s v="Arthropoda"/>
    <s v="Insecta"/>
    <s v="Hemiptera"/>
    <s v="Acanthosomatidae"/>
    <s v="Acanthosoma"/>
    <s v="SD99320419"/>
    <s v="SD"/>
    <s v="SD90"/>
    <s v="SD90X"/>
    <s v="SD9904"/>
    <n v="9"/>
  </r>
  <r>
    <n v="49671663"/>
    <d v="2026-02-09T00:00:00"/>
    <n v="9"/>
    <x v="0"/>
    <n v="2026"/>
    <s v="dr2141"/>
    <s v="British Bryological Society"/>
    <s v="dp74"/>
    <s v="Kindbergia praelonga"/>
    <s v="Common Feather-moss"/>
    <s v="species"/>
    <x v="0"/>
    <s v="Bryophyta"/>
    <s v="Bryopsida"/>
    <s v="Hypnales"/>
    <s v="Brachytheciaceae"/>
    <s v="Kindbergia"/>
    <s v="SE10722679"/>
    <s v="SE"/>
    <s v="SE12"/>
    <s v="SE12D"/>
    <s v="SE1026"/>
    <n v="9"/>
  </r>
  <r>
    <n v="49888488"/>
    <d v="2026-02-11T00:00:00"/>
    <n v="11"/>
    <x v="0"/>
    <n v="2026"/>
    <s v="dr2141"/>
    <s v="British Bryological Society"/>
    <s v="dp74"/>
    <s v="Rhytidiadelphus squarrosus"/>
    <s v="Springy Turf-moss"/>
    <s v="species"/>
    <x v="0"/>
    <s v="Bryophyta"/>
    <s v="Bryopsida"/>
    <s v="Hypnales"/>
    <s v="Hylocomiaceae"/>
    <s v="Rhytidiadelphus"/>
    <s v="SE066269"/>
    <s v="SE"/>
    <s v="SE02"/>
    <s v="SE02T"/>
    <s v="SE0626"/>
    <n v="0"/>
  </r>
  <r>
    <n v="49304156"/>
    <d v="2026-02-01T00:00:00"/>
    <n v="1"/>
    <x v="0"/>
    <n v="2026"/>
    <s v="dr2141"/>
    <s v="British Bryological Society"/>
    <s v="dp74"/>
    <s v="Frullania dilatata"/>
    <s v="Dilated Scalewort"/>
    <s v="species"/>
    <x v="0"/>
    <s v="Marchantiophyta"/>
    <s v="Jungermanniopsida"/>
    <s v="Porellales"/>
    <s v="Frullaniaceae"/>
    <s v="Frullania"/>
    <s v="SK293900"/>
    <s v="SK"/>
    <s v="SK29"/>
    <s v="SK29V"/>
    <s v="SK2990"/>
    <n v="2"/>
  </r>
  <r>
    <n v="49030070"/>
    <d v="2026-01-20T00:00:00"/>
    <n v="20"/>
    <x v="1"/>
    <n v="2026"/>
    <s v="dr2141"/>
    <s v="British Bryological Society"/>
    <s v="dp74"/>
    <s v="Polytrichum piliferum"/>
    <s v="Bristly Haircap"/>
    <s v="species"/>
    <x v="0"/>
    <s v="Bryophyta"/>
    <s v="Polytrichopsida"/>
    <s v="Polytrichales"/>
    <s v="Polytrichaceae"/>
    <s v="Polytrichum"/>
    <s v="SE09253399"/>
    <s v="SE"/>
    <s v="SE03"/>
    <s v="SE03W"/>
    <s v="SE0933"/>
    <n v="5"/>
  </r>
  <r>
    <n v="49249920"/>
    <d v="2026-01-29T00:00:00"/>
    <n v="29"/>
    <x v="1"/>
    <n v="2026"/>
    <s v="dr2141"/>
    <s v="British Bryological Society"/>
    <s v="dp74"/>
    <s v="Grimmia pulvinata"/>
    <s v="Grey-cushioned Grimmia"/>
    <s v="species"/>
    <x v="0"/>
    <s v="Bryophyta"/>
    <s v="Bryopsida"/>
    <s v="Grimmiales"/>
    <s v="Grimmiaceae"/>
    <s v="Grimmia"/>
    <s v="SK357877"/>
    <s v="SK"/>
    <s v="SK38"/>
    <s v="SK38N"/>
    <s v="SK3587"/>
    <n v="7"/>
  </r>
  <r>
    <n v="48722327"/>
    <d v="2026-01-20T00:00:00"/>
    <n v="20"/>
    <x v="1"/>
    <n v="2026"/>
    <s v="dr2141"/>
    <s v="British Bryological Society"/>
    <s v="dp74"/>
    <s v="Hylocomium splendens"/>
    <s v="Glittering Wood-moss"/>
    <s v="species"/>
    <x v="0"/>
    <s v="Bryophyta"/>
    <s v="Bryopsida"/>
    <s v="Hypnales"/>
    <s v="Hylocomiaceae"/>
    <s v="Hylocomium"/>
    <s v="SE09403390"/>
    <s v="SE"/>
    <s v="SE03"/>
    <s v="SE03W"/>
    <s v="SE0933"/>
    <n v="9"/>
  </r>
  <r>
    <n v="49512908"/>
    <d v="2026-02-04T00:00:00"/>
    <n v="4"/>
    <x v="0"/>
    <n v="2026"/>
    <s v="dr2141"/>
    <s v="British Bryological Society"/>
    <s v="dp74"/>
    <s v="Pseudoscleropodium purum"/>
    <s v="Neat Feather-moss"/>
    <s v="species"/>
    <x v="0"/>
    <s v="Bryophyta"/>
    <s v="Bryopsida"/>
    <s v="Hypnales"/>
    <s v="Brachytheciaceae"/>
    <s v="Pseudoscleropodium"/>
    <s v="SD96652651"/>
    <s v="SD"/>
    <s v="SD92"/>
    <s v="SD92T"/>
    <s v="SD9626"/>
    <n v="3"/>
  </r>
  <r>
    <n v="48762751"/>
    <d v="2026-01-23T00:00:00"/>
    <n v="23"/>
    <x v="1"/>
    <n v="2026"/>
    <s v="dr671"/>
    <s v="Mammal Society"/>
    <s v="dp8"/>
    <s v="Capreolus capreolus"/>
    <s v="Roe Deer"/>
    <s v="species"/>
    <x v="1"/>
    <s v="Chordata"/>
    <s v="Mammalia"/>
    <s v="Artiodactyla"/>
    <s v="Cervidae"/>
    <s v="Capreolus"/>
    <s v="SE118204"/>
    <s v="SE"/>
    <s v="SE12"/>
    <s v="SE12A"/>
    <s v="SE1120"/>
    <n v="2"/>
  </r>
  <r>
    <n v="50026586"/>
    <d v="2026-02-13T00:00:00"/>
    <n v="13"/>
    <x v="0"/>
    <n v="2026"/>
    <s v="dr2141"/>
    <s v="British Bryological Society"/>
    <s v="dp74"/>
    <s v="Oxyrrhynchium hians"/>
    <s v="Swartz's Feather-moss"/>
    <s v="species"/>
    <x v="0"/>
    <s v="Bryophyta"/>
    <s v="Bryopsida"/>
    <s v="Hypnales"/>
    <s v="Brachytheciaceae"/>
    <s v="Oxyrrhynchium"/>
    <s v="SK351848"/>
    <s v="SK"/>
    <s v="SK38"/>
    <s v="SK38M"/>
    <s v="SK3584"/>
    <n v="6"/>
  </r>
  <r>
    <n v="49298809"/>
    <d v="2026-01-31T00:00:00"/>
    <n v="31"/>
    <x v="1"/>
    <n v="2026"/>
    <s v="dr2141"/>
    <s v="British Bryological Society"/>
    <s v="dp74"/>
    <s v="Campylopus introflexus"/>
    <s v="Heath Star Moss"/>
    <s v="species"/>
    <x v="0"/>
    <s v="Bryophyta"/>
    <s v="Bryopsida"/>
    <s v="Dicranales"/>
    <s v="Leucobryaceae"/>
    <s v="Campylopus"/>
    <s v="SD99921769"/>
    <s v="SD"/>
    <s v="SD91"/>
    <s v="SD91Y"/>
    <s v="SD9917"/>
    <n v="5"/>
  </r>
  <r>
    <n v="49298824"/>
    <d v="2026-01-31T00:00:00"/>
    <n v="31"/>
    <x v="1"/>
    <n v="2026"/>
    <s v="dr2141"/>
    <s v="British Bryological Society"/>
    <s v="dp74"/>
    <s v="Dicranella heteromalla"/>
    <s v="Silky Forklet-moss"/>
    <s v="species"/>
    <x v="0"/>
    <s v="Bryophyta"/>
    <s v="Bryopsida"/>
    <s v="Dicranales"/>
    <s v="Dicranellaceae"/>
    <s v="Dicranella"/>
    <s v="SE01901733"/>
    <s v="SE"/>
    <s v="SE01"/>
    <s v="SE01D"/>
    <s v="SE0117"/>
    <n v="8"/>
  </r>
  <r>
    <n v="48742842"/>
    <d v="2026-01-21T00:00:00"/>
    <n v="21"/>
    <x v="1"/>
    <n v="2026"/>
    <s v="dr2141"/>
    <s v="British Bryological Society"/>
    <s v="dp74"/>
    <s v="Polytrichum piliferum"/>
    <s v="Bristly Haircap"/>
    <s v="species"/>
    <x v="0"/>
    <s v="Bryophyta"/>
    <s v="Polytrichopsida"/>
    <s v="Polytrichales"/>
    <s v="Polytrichaceae"/>
    <s v="Polytrichum"/>
    <s v="SE07812403"/>
    <s v="SE"/>
    <s v="SE02"/>
    <s v="SE02S"/>
    <s v="SE0724"/>
    <n v="9"/>
  </r>
  <r>
    <n v="49395891"/>
    <d v="2026-02-01T00:00:00"/>
    <n v="1"/>
    <x v="0"/>
    <n v="2026"/>
    <s v="dr2141"/>
    <s v="British Bryological Society"/>
    <s v="dp74"/>
    <s v="Dicranum scoparium"/>
    <s v="Broom Fork-moss"/>
    <s v="species"/>
    <x v="0"/>
    <s v="Bryophyta"/>
    <s v="Bryopsida"/>
    <s v="Dicranales"/>
    <s v="Dicranaceae"/>
    <s v="Dicranum"/>
    <s v="SE25252319"/>
    <s v="SE"/>
    <s v="SE22"/>
    <s v="SE22L"/>
    <s v="SE2523"/>
    <n v="0"/>
  </r>
  <r>
    <n v="48665828"/>
    <d v="2026-01-15T00:00:00"/>
    <n v="15"/>
    <x v="1"/>
    <n v="2026"/>
    <s v="dr2141"/>
    <s v="British Bryological Society"/>
    <s v="dp74"/>
    <s v="Kindbergia praelonga"/>
    <s v="Common Feather-moss"/>
    <s v="species"/>
    <x v="0"/>
    <s v="Bryophyta"/>
    <s v="Bryopsida"/>
    <s v="Hypnales"/>
    <s v="Brachytheciaceae"/>
    <s v="Kindbergia"/>
    <s v="SE07111710"/>
    <s v="SE"/>
    <s v="SE01"/>
    <s v="SE01T"/>
    <s v="SE0717"/>
    <n v="1"/>
  </r>
  <r>
    <n v="49381976"/>
    <d v="2026-02-02T00:00:00"/>
    <n v="2"/>
    <x v="0"/>
    <n v="2026"/>
    <s v="dr2141"/>
    <s v="British Bryological Society"/>
    <s v="dp74"/>
    <s v="Rhytidiadelphus squarrosus"/>
    <s v="Springy Turf-moss"/>
    <s v="species"/>
    <x v="0"/>
    <s v="Bryophyta"/>
    <s v="Bryopsida"/>
    <s v="Hypnales"/>
    <s v="Hylocomiaceae"/>
    <s v="Rhytidiadelphus"/>
    <s v="SE20322932"/>
    <s v="SE"/>
    <s v="SE22"/>
    <s v="SE22E"/>
    <s v="SE2029"/>
    <n v="0"/>
  </r>
  <r>
    <n v="49395884"/>
    <d v="2026-01-31T00:00:00"/>
    <n v="31"/>
    <x v="1"/>
    <n v="2026"/>
    <s v="dr2141"/>
    <s v="British Bryological Society"/>
    <s v="dp74"/>
    <s v="Sphagnum fimbriatum"/>
    <s v="Fringed Bog-moss"/>
    <s v="species"/>
    <x v="0"/>
    <s v="Bryophyta"/>
    <s v="Sphagnopsida"/>
    <s v="Sphagnales"/>
    <s v="Sphagnaceae"/>
    <s v="Sphagnum"/>
    <s v="SD99851722"/>
    <s v="SD"/>
    <s v="SD91"/>
    <s v="SD91Y"/>
    <s v="SD9917"/>
    <n v="1"/>
  </r>
  <r>
    <n v="49603675"/>
    <d v="2026-02-06T00:00:00"/>
    <n v="6"/>
    <x v="0"/>
    <n v="2026"/>
    <s v="dr1215"/>
    <s v="Terrestrial Heteroptera Recording Scheme (Shieldbugs &amp; allied species)"/>
    <s v="dp108"/>
    <s v="Leptoglossus occidentalis"/>
    <s v="Western Conifer Seed Bug"/>
    <s v="species"/>
    <x v="1"/>
    <s v="Arthropoda"/>
    <s v="Insecta"/>
    <s v="Hemiptera"/>
    <s v="Coreidae"/>
    <s v="Leptoglossus"/>
    <s v="SK342851"/>
    <s v="SK"/>
    <s v="SK38"/>
    <s v="SK38M"/>
    <s v="SK3485"/>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
  <r>
    <n v="49512910"/>
    <x v="0"/>
    <n v="4"/>
    <x v="0"/>
    <n v="2026"/>
    <s v="dr2141"/>
    <x v="0"/>
    <x v="0"/>
    <x v="0"/>
    <s v="Springy Turf-moss"/>
    <x v="0"/>
    <x v="0"/>
    <x v="0"/>
    <x v="0"/>
    <x v="0"/>
    <x v="0"/>
    <x v="0"/>
    <s v="SD96652663"/>
    <x v="0"/>
    <x v="0"/>
    <x v="0"/>
    <x v="0"/>
    <n v="2"/>
  </r>
  <r>
    <n v="48742392"/>
    <x v="1"/>
    <n v="22"/>
    <x v="1"/>
    <n v="2026"/>
    <s v="dr2141"/>
    <x v="0"/>
    <x v="0"/>
    <x v="1"/>
    <s v="Common Smoothcap"/>
    <x v="0"/>
    <x v="0"/>
    <x v="0"/>
    <x v="1"/>
    <x v="1"/>
    <x v="1"/>
    <x v="1"/>
    <s v="SE147252"/>
    <x v="1"/>
    <x v="1"/>
    <x v="1"/>
    <x v="1"/>
    <n v="4"/>
  </r>
  <r>
    <n v="49622603"/>
    <x v="2"/>
    <n v="31"/>
    <x v="1"/>
    <n v="2026"/>
    <s v="dr736"/>
    <x v="1"/>
    <x v="1"/>
    <x v="2"/>
    <s v="2-spot Ladybird"/>
    <x v="0"/>
    <x v="1"/>
    <x v="1"/>
    <x v="2"/>
    <x v="2"/>
    <x v="2"/>
    <x v="2"/>
    <s v="SK452993"/>
    <x v="2"/>
    <x v="2"/>
    <x v="2"/>
    <x v="2"/>
    <n v="5"/>
  </r>
  <r>
    <n v="49304161"/>
    <x v="3"/>
    <n v="1"/>
    <x v="0"/>
    <n v="2026"/>
    <s v="dr2141"/>
    <x v="0"/>
    <x v="0"/>
    <x v="3"/>
    <s v="Fern-leaved Hook-moss"/>
    <x v="0"/>
    <x v="0"/>
    <x v="0"/>
    <x v="0"/>
    <x v="0"/>
    <x v="3"/>
    <x v="3"/>
    <s v="SK295898"/>
    <x v="2"/>
    <x v="3"/>
    <x v="3"/>
    <x v="3"/>
    <n v="6"/>
  </r>
  <r>
    <n v="49724511"/>
    <x v="4"/>
    <n v="3"/>
    <x v="0"/>
    <n v="2026"/>
    <s v="dr2141"/>
    <x v="0"/>
    <x v="0"/>
    <x v="4"/>
    <s v="Creeping Feather-moss"/>
    <x v="0"/>
    <x v="0"/>
    <x v="0"/>
    <x v="0"/>
    <x v="0"/>
    <x v="3"/>
    <x v="4"/>
    <s v="SE117347"/>
    <x v="1"/>
    <x v="4"/>
    <x v="4"/>
    <x v="4"/>
    <n v="2"/>
  </r>
  <r>
    <n v="48902693"/>
    <x v="5"/>
    <n v="26"/>
    <x v="1"/>
    <n v="2026"/>
    <s v="dr2451"/>
    <x v="2"/>
    <x v="2"/>
    <x v="5"/>
    <s v="Harvest Mouse"/>
    <x v="0"/>
    <x v="1"/>
    <x v="2"/>
    <x v="3"/>
    <x v="3"/>
    <x v="4"/>
    <x v="5"/>
    <s v="SE731258"/>
    <x v="1"/>
    <x v="5"/>
    <x v="5"/>
    <x v="5"/>
    <n v="8"/>
  </r>
  <r>
    <n v="49395895"/>
    <x v="6"/>
    <n v="2"/>
    <x v="0"/>
    <n v="2026"/>
    <s v="dr2141"/>
    <x v="0"/>
    <x v="0"/>
    <x v="6"/>
    <s v="Heath Plait-moss"/>
    <x v="0"/>
    <x v="0"/>
    <x v="0"/>
    <x v="0"/>
    <x v="0"/>
    <x v="5"/>
    <x v="6"/>
    <s v="SE20322932"/>
    <x v="1"/>
    <x v="6"/>
    <x v="6"/>
    <x v="6"/>
    <n v="6"/>
  </r>
  <r>
    <n v="49622601"/>
    <x v="2"/>
    <n v="31"/>
    <x v="1"/>
    <n v="2026"/>
    <s v="dr736"/>
    <x v="1"/>
    <x v="1"/>
    <x v="7"/>
    <s v="Orange Ladybird"/>
    <x v="0"/>
    <x v="1"/>
    <x v="1"/>
    <x v="2"/>
    <x v="2"/>
    <x v="2"/>
    <x v="7"/>
    <s v="SK45229941"/>
    <x v="2"/>
    <x v="2"/>
    <x v="2"/>
    <x v="2"/>
    <n v="1"/>
  </r>
  <r>
    <n v="49888486"/>
    <x v="7"/>
    <n v="11"/>
    <x v="0"/>
    <n v="2026"/>
    <s v="dr2141"/>
    <x v="0"/>
    <x v="0"/>
    <x v="8"/>
    <s v="Pointed Spear-moss"/>
    <x v="0"/>
    <x v="0"/>
    <x v="0"/>
    <x v="0"/>
    <x v="0"/>
    <x v="6"/>
    <x v="8"/>
    <s v="SE06612694"/>
    <x v="1"/>
    <x v="7"/>
    <x v="7"/>
    <x v="7"/>
    <n v="0"/>
  </r>
  <r>
    <n v="48665831"/>
    <x v="8"/>
    <n v="15"/>
    <x v="1"/>
    <n v="2026"/>
    <s v="dr2141"/>
    <x v="0"/>
    <x v="0"/>
    <x v="9"/>
    <s v="Red-stemmed Feather-moss"/>
    <x v="0"/>
    <x v="0"/>
    <x v="0"/>
    <x v="0"/>
    <x v="0"/>
    <x v="0"/>
    <x v="9"/>
    <s v="SE07091712"/>
    <x v="1"/>
    <x v="8"/>
    <x v="8"/>
    <x v="8"/>
    <n v="0"/>
  </r>
  <r>
    <n v="49382841"/>
    <x v="3"/>
    <n v="1"/>
    <x v="0"/>
    <n v="2026"/>
    <s v="dr2141"/>
    <x v="0"/>
    <x v="0"/>
    <x v="10"/>
    <s v="Rough-stalked Feather-moss"/>
    <x v="0"/>
    <x v="0"/>
    <x v="0"/>
    <x v="0"/>
    <x v="0"/>
    <x v="7"/>
    <x v="10"/>
    <s v="SE24912270"/>
    <x v="1"/>
    <x v="6"/>
    <x v="9"/>
    <x v="9"/>
    <n v="0"/>
  </r>
  <r>
    <n v="49512914"/>
    <x v="0"/>
    <n v="4"/>
    <x v="0"/>
    <n v="2026"/>
    <s v="dr2141"/>
    <x v="0"/>
    <x v="0"/>
    <x v="11"/>
    <s v="Dotted Thyme-moss"/>
    <x v="0"/>
    <x v="0"/>
    <x v="0"/>
    <x v="0"/>
    <x v="4"/>
    <x v="8"/>
    <x v="11"/>
    <s v="SD96422673"/>
    <x v="0"/>
    <x v="0"/>
    <x v="0"/>
    <x v="0"/>
    <n v="3"/>
  </r>
  <r>
    <n v="49724557"/>
    <x v="9"/>
    <n v="9"/>
    <x v="0"/>
    <n v="2026"/>
    <s v="dr2141"/>
    <x v="0"/>
    <x v="0"/>
    <x v="12"/>
    <s v="Broom Fork-moss"/>
    <x v="0"/>
    <x v="0"/>
    <x v="0"/>
    <x v="0"/>
    <x v="5"/>
    <x v="9"/>
    <x v="12"/>
    <s v="SE10812659"/>
    <x v="1"/>
    <x v="1"/>
    <x v="10"/>
    <x v="10"/>
    <n v="5"/>
  </r>
  <r>
    <n v="49724499"/>
    <x v="10"/>
    <n v="28"/>
    <x v="1"/>
    <n v="2026"/>
    <s v="dr2141"/>
    <x v="0"/>
    <x v="0"/>
    <x v="13"/>
    <s v="Glittering Wood-moss"/>
    <x v="0"/>
    <x v="0"/>
    <x v="0"/>
    <x v="0"/>
    <x v="0"/>
    <x v="0"/>
    <x v="13"/>
    <s v="SE01122045"/>
    <x v="1"/>
    <x v="7"/>
    <x v="11"/>
    <x v="11"/>
    <n v="6"/>
  </r>
  <r>
    <n v="49303987"/>
    <x v="3"/>
    <n v="1"/>
    <x v="0"/>
    <n v="2026"/>
    <s v="dr2141"/>
    <x v="0"/>
    <x v="0"/>
    <x v="14"/>
    <s v="Common Feather-moss"/>
    <x v="0"/>
    <x v="0"/>
    <x v="0"/>
    <x v="0"/>
    <x v="0"/>
    <x v="7"/>
    <x v="14"/>
    <s v="SK293900"/>
    <x v="2"/>
    <x v="9"/>
    <x v="12"/>
    <x v="12"/>
    <n v="7"/>
  </r>
  <r>
    <n v="49724521"/>
    <x v="0"/>
    <n v="4"/>
    <x v="0"/>
    <n v="2026"/>
    <s v="dr2141"/>
    <x v="0"/>
    <x v="0"/>
    <x v="14"/>
    <s v="Common Feather-moss"/>
    <x v="0"/>
    <x v="0"/>
    <x v="0"/>
    <x v="0"/>
    <x v="0"/>
    <x v="7"/>
    <x v="14"/>
    <s v="SD96632644"/>
    <x v="0"/>
    <x v="0"/>
    <x v="0"/>
    <x v="0"/>
    <n v="8"/>
  </r>
  <r>
    <n v="49245976"/>
    <x v="11"/>
    <n v="30"/>
    <x v="1"/>
    <n v="2026"/>
    <s v="dr2141"/>
    <x v="0"/>
    <x v="0"/>
    <x v="15"/>
    <s v="Grey-cushioned Grimmia"/>
    <x v="0"/>
    <x v="0"/>
    <x v="0"/>
    <x v="0"/>
    <x v="6"/>
    <x v="10"/>
    <x v="15"/>
    <s v="SK372860"/>
    <x v="2"/>
    <x v="10"/>
    <x v="13"/>
    <x v="13"/>
    <n v="9"/>
  </r>
  <r>
    <n v="49304151"/>
    <x v="3"/>
    <n v="1"/>
    <x v="0"/>
    <n v="2026"/>
    <s v="dr2141"/>
    <x v="0"/>
    <x v="0"/>
    <x v="16"/>
    <s v="Thickpoint Grimmia"/>
    <x v="0"/>
    <x v="0"/>
    <x v="0"/>
    <x v="0"/>
    <x v="6"/>
    <x v="10"/>
    <x v="16"/>
    <s v="SK28699048"/>
    <x v="2"/>
    <x v="9"/>
    <x v="12"/>
    <x v="14"/>
    <n v="2"/>
  </r>
  <r>
    <n v="49305140"/>
    <x v="2"/>
    <n v="31"/>
    <x v="1"/>
    <n v="2026"/>
    <s v="dr2141"/>
    <x v="0"/>
    <x v="0"/>
    <x v="17"/>
    <s v="Fringed Bog-moss"/>
    <x v="0"/>
    <x v="0"/>
    <x v="0"/>
    <x v="4"/>
    <x v="7"/>
    <x v="11"/>
    <x v="17"/>
    <s v="SD99841722"/>
    <x v="0"/>
    <x v="11"/>
    <x v="14"/>
    <x v="15"/>
    <n v="5"/>
  </r>
  <r>
    <n v="49962486"/>
    <x v="12"/>
    <n v="12"/>
    <x v="0"/>
    <n v="2026"/>
    <s v="dr2141"/>
    <x v="0"/>
    <x v="0"/>
    <x v="14"/>
    <s v="Common Feather-moss"/>
    <x v="0"/>
    <x v="0"/>
    <x v="0"/>
    <x v="0"/>
    <x v="0"/>
    <x v="7"/>
    <x v="14"/>
    <s v="SE137205"/>
    <x v="1"/>
    <x v="1"/>
    <x v="15"/>
    <x v="16"/>
    <n v="5"/>
  </r>
  <r>
    <n v="49382840"/>
    <x v="3"/>
    <n v="1"/>
    <x v="0"/>
    <n v="2026"/>
    <s v="dr2141"/>
    <x v="0"/>
    <x v="0"/>
    <x v="14"/>
    <s v="Common Feather-moss"/>
    <x v="0"/>
    <x v="0"/>
    <x v="0"/>
    <x v="0"/>
    <x v="0"/>
    <x v="7"/>
    <x v="14"/>
    <s v="SE24992304"/>
    <x v="1"/>
    <x v="6"/>
    <x v="9"/>
    <x v="17"/>
    <n v="0"/>
  </r>
  <r>
    <n v="50031442"/>
    <x v="13"/>
    <n v="14"/>
    <x v="0"/>
    <n v="2026"/>
    <s v="dr736"/>
    <x v="1"/>
    <x v="1"/>
    <x v="2"/>
    <s v="2-spot Ladybird"/>
    <x v="0"/>
    <x v="1"/>
    <x v="1"/>
    <x v="2"/>
    <x v="2"/>
    <x v="2"/>
    <x v="2"/>
    <s v="SE05182364"/>
    <x v="1"/>
    <x v="7"/>
    <x v="16"/>
    <x v="18"/>
    <n v="0"/>
  </r>
  <r>
    <n v="48712588"/>
    <x v="14"/>
    <n v="19"/>
    <x v="1"/>
    <n v="2026"/>
    <s v="dr2141"/>
    <x v="0"/>
    <x v="0"/>
    <x v="1"/>
    <s v="Common Smoothcap"/>
    <x v="0"/>
    <x v="0"/>
    <x v="0"/>
    <x v="1"/>
    <x v="1"/>
    <x v="1"/>
    <x v="1"/>
    <s v="SE136260"/>
    <x v="1"/>
    <x v="1"/>
    <x v="17"/>
    <x v="19"/>
    <n v="5"/>
  </r>
  <r>
    <n v="49298829"/>
    <x v="2"/>
    <n v="31"/>
    <x v="1"/>
    <n v="2026"/>
    <s v="dr2141"/>
    <x v="0"/>
    <x v="0"/>
    <x v="0"/>
    <s v="Springy Turf-moss"/>
    <x v="0"/>
    <x v="0"/>
    <x v="0"/>
    <x v="0"/>
    <x v="0"/>
    <x v="0"/>
    <x v="0"/>
    <s v="SE01251842"/>
    <x v="1"/>
    <x v="8"/>
    <x v="18"/>
    <x v="20"/>
    <n v="4"/>
  </r>
  <r>
    <n v="49961941"/>
    <x v="12"/>
    <n v="12"/>
    <x v="0"/>
    <n v="2026"/>
    <s v="dr2141"/>
    <x v="0"/>
    <x v="0"/>
    <x v="15"/>
    <s v="Grey-cushioned Grimmia"/>
    <x v="0"/>
    <x v="0"/>
    <x v="0"/>
    <x v="0"/>
    <x v="6"/>
    <x v="10"/>
    <x v="15"/>
    <s v="SK347873"/>
    <x v="2"/>
    <x v="10"/>
    <x v="19"/>
    <x v="21"/>
    <n v="6"/>
  </r>
  <r>
    <n v="50032310"/>
    <x v="15"/>
    <n v="15"/>
    <x v="0"/>
    <n v="2026"/>
    <s v="dr2141"/>
    <x v="0"/>
    <x v="0"/>
    <x v="4"/>
    <s v="Creeping Feather-moss"/>
    <x v="0"/>
    <x v="0"/>
    <x v="0"/>
    <x v="0"/>
    <x v="0"/>
    <x v="3"/>
    <x v="4"/>
    <s v="SK324816"/>
    <x v="2"/>
    <x v="10"/>
    <x v="20"/>
    <x v="22"/>
    <n v="2"/>
  </r>
  <r>
    <n v="48995014"/>
    <x v="16"/>
    <n v="23"/>
    <x v="1"/>
    <n v="2026"/>
    <s v="dr2141"/>
    <x v="0"/>
    <x v="0"/>
    <x v="6"/>
    <s v="Heath Plait-moss"/>
    <x v="0"/>
    <x v="0"/>
    <x v="0"/>
    <x v="0"/>
    <x v="0"/>
    <x v="5"/>
    <x v="6"/>
    <s v="SE11942036"/>
    <x v="1"/>
    <x v="1"/>
    <x v="21"/>
    <x v="23"/>
    <n v="7"/>
  </r>
  <r>
    <n v="49888485"/>
    <x v="7"/>
    <n v="11"/>
    <x v="0"/>
    <n v="2026"/>
    <s v="dr2141"/>
    <x v="0"/>
    <x v="0"/>
    <x v="1"/>
    <s v="Common Smoothcap"/>
    <x v="0"/>
    <x v="0"/>
    <x v="0"/>
    <x v="1"/>
    <x v="1"/>
    <x v="1"/>
    <x v="1"/>
    <s v="SE06572694"/>
    <x v="1"/>
    <x v="7"/>
    <x v="7"/>
    <x v="7"/>
    <n v="6"/>
  </r>
  <r>
    <n v="49297869"/>
    <x v="2"/>
    <n v="31"/>
    <x v="1"/>
    <n v="2026"/>
    <s v="dr736"/>
    <x v="1"/>
    <x v="1"/>
    <x v="18"/>
    <s v="7-spot Ladybird"/>
    <x v="0"/>
    <x v="1"/>
    <x v="1"/>
    <x v="2"/>
    <x v="2"/>
    <x v="2"/>
    <x v="18"/>
    <s v="SE562045"/>
    <x v="1"/>
    <x v="12"/>
    <x v="22"/>
    <x v="24"/>
    <n v="2"/>
  </r>
  <r>
    <n v="50031445"/>
    <x v="13"/>
    <n v="14"/>
    <x v="0"/>
    <n v="2026"/>
    <s v="dr736"/>
    <x v="1"/>
    <x v="1"/>
    <x v="19"/>
    <s v="Harlequin Ladybird"/>
    <x v="0"/>
    <x v="1"/>
    <x v="1"/>
    <x v="2"/>
    <x v="2"/>
    <x v="2"/>
    <x v="19"/>
    <s v="SE05142370"/>
    <x v="1"/>
    <x v="7"/>
    <x v="16"/>
    <x v="18"/>
    <n v="1"/>
  </r>
  <r>
    <n v="50032446"/>
    <x v="15"/>
    <n v="15"/>
    <x v="0"/>
    <n v="2026"/>
    <s v="dr2141"/>
    <x v="0"/>
    <x v="0"/>
    <x v="20"/>
    <s v="Silky Wall Feather-moss"/>
    <x v="0"/>
    <x v="0"/>
    <x v="0"/>
    <x v="0"/>
    <x v="0"/>
    <x v="7"/>
    <x v="20"/>
    <s v="SK324818"/>
    <x v="2"/>
    <x v="10"/>
    <x v="20"/>
    <x v="22"/>
    <n v="0"/>
  </r>
  <r>
    <n v="49671660"/>
    <x v="9"/>
    <n v="9"/>
    <x v="0"/>
    <n v="2026"/>
    <s v="dr2141"/>
    <x v="0"/>
    <x v="0"/>
    <x v="10"/>
    <s v="Rough-stalked Feather-moss"/>
    <x v="0"/>
    <x v="0"/>
    <x v="0"/>
    <x v="0"/>
    <x v="0"/>
    <x v="7"/>
    <x v="10"/>
    <s v="SE10752665"/>
    <x v="1"/>
    <x v="1"/>
    <x v="10"/>
    <x v="10"/>
    <n v="0"/>
  </r>
  <r>
    <n v="49298509"/>
    <x v="2"/>
    <n v="31"/>
    <x v="1"/>
    <n v="2026"/>
    <s v="dr2141"/>
    <x v="0"/>
    <x v="0"/>
    <x v="6"/>
    <s v="Heath Plait-moss"/>
    <x v="0"/>
    <x v="0"/>
    <x v="0"/>
    <x v="0"/>
    <x v="0"/>
    <x v="5"/>
    <x v="6"/>
    <s v="SE00751820"/>
    <x v="1"/>
    <x v="8"/>
    <x v="18"/>
    <x v="25"/>
    <n v="5"/>
  </r>
  <r>
    <n v="49512699"/>
    <x v="0"/>
    <n v="4"/>
    <x v="0"/>
    <n v="2026"/>
    <s v="dr2141"/>
    <x v="0"/>
    <x v="0"/>
    <x v="21"/>
    <s v="Silver-moss"/>
    <x v="0"/>
    <x v="0"/>
    <x v="0"/>
    <x v="0"/>
    <x v="4"/>
    <x v="12"/>
    <x v="21"/>
    <s v="SK356879"/>
    <x v="2"/>
    <x v="10"/>
    <x v="19"/>
    <x v="26"/>
    <n v="0"/>
  </r>
  <r>
    <n v="49301458"/>
    <x v="2"/>
    <n v="31"/>
    <x v="1"/>
    <n v="2026"/>
    <s v="dr2141"/>
    <x v="0"/>
    <x v="0"/>
    <x v="22"/>
    <s v="Feathery Bog-moss"/>
    <x v="0"/>
    <x v="0"/>
    <x v="0"/>
    <x v="4"/>
    <x v="7"/>
    <x v="11"/>
    <x v="17"/>
    <s v="SE01961717"/>
    <x v="1"/>
    <x v="8"/>
    <x v="23"/>
    <x v="27"/>
    <n v="9"/>
  </r>
  <r>
    <n v="49622604"/>
    <x v="2"/>
    <n v="31"/>
    <x v="1"/>
    <n v="2026"/>
    <s v="dr736"/>
    <x v="1"/>
    <x v="1"/>
    <x v="19"/>
    <s v="Harlequin Ladybird"/>
    <x v="0"/>
    <x v="1"/>
    <x v="1"/>
    <x v="2"/>
    <x v="2"/>
    <x v="2"/>
    <x v="19"/>
    <s v="SK452993"/>
    <x v="2"/>
    <x v="2"/>
    <x v="2"/>
    <x v="2"/>
    <n v="6"/>
  </r>
  <r>
    <n v="48741153"/>
    <x v="1"/>
    <n v="22"/>
    <x v="1"/>
    <n v="2026"/>
    <s v="dr2141"/>
    <x v="0"/>
    <x v="0"/>
    <x v="23"/>
    <s v="Fox-tail Feather-moss"/>
    <x v="0"/>
    <x v="0"/>
    <x v="0"/>
    <x v="0"/>
    <x v="0"/>
    <x v="13"/>
    <x v="22"/>
    <s v="SE1425"/>
    <x v="1"/>
    <x v="1"/>
    <x v="1"/>
    <x v="1"/>
    <n v="5"/>
  </r>
  <r>
    <n v="49962482"/>
    <x v="12"/>
    <n v="12"/>
    <x v="0"/>
    <n v="2026"/>
    <s v="dr2141"/>
    <x v="0"/>
    <x v="0"/>
    <x v="6"/>
    <s v="Heath Plait-moss"/>
    <x v="0"/>
    <x v="0"/>
    <x v="0"/>
    <x v="0"/>
    <x v="0"/>
    <x v="5"/>
    <x v="6"/>
    <s v="SE13712070"/>
    <x v="1"/>
    <x v="1"/>
    <x v="15"/>
    <x v="16"/>
    <n v="1"/>
  </r>
  <r>
    <n v="50192006"/>
    <x v="17"/>
    <n v="20"/>
    <x v="0"/>
    <n v="2026"/>
    <s v="dr736"/>
    <x v="1"/>
    <x v="1"/>
    <x v="19"/>
    <s v="Harlequin Ladybird"/>
    <x v="0"/>
    <x v="1"/>
    <x v="1"/>
    <x v="2"/>
    <x v="2"/>
    <x v="2"/>
    <x v="19"/>
    <s v="SE46052237"/>
    <x v="1"/>
    <x v="13"/>
    <x v="24"/>
    <x v="28"/>
    <n v="0"/>
  </r>
  <r>
    <n v="48653539"/>
    <x v="18"/>
    <n v="14"/>
    <x v="1"/>
    <n v="2026"/>
    <s v="dr2141"/>
    <x v="0"/>
    <x v="0"/>
    <x v="24"/>
    <s v="Heath Star Moss"/>
    <x v="0"/>
    <x v="0"/>
    <x v="0"/>
    <x v="0"/>
    <x v="5"/>
    <x v="14"/>
    <x v="23"/>
    <s v="SD91572828"/>
    <x v="0"/>
    <x v="0"/>
    <x v="25"/>
    <x v="29"/>
    <n v="8"/>
  </r>
  <r>
    <n v="49620068"/>
    <x v="19"/>
    <n v="6"/>
    <x v="0"/>
    <n v="2026"/>
    <s v="dr2141"/>
    <x v="0"/>
    <x v="0"/>
    <x v="25"/>
    <s v="Neat Feather-moss"/>
    <x v="0"/>
    <x v="0"/>
    <x v="0"/>
    <x v="0"/>
    <x v="0"/>
    <x v="7"/>
    <x v="24"/>
    <s v="SE08312015"/>
    <x v="1"/>
    <x v="7"/>
    <x v="26"/>
    <x v="30"/>
    <n v="9"/>
  </r>
  <r>
    <n v="49620071"/>
    <x v="19"/>
    <n v="6"/>
    <x v="0"/>
    <n v="2026"/>
    <s v="dr2141"/>
    <x v="0"/>
    <x v="0"/>
    <x v="13"/>
    <s v="Glittering Wood-moss"/>
    <x v="0"/>
    <x v="0"/>
    <x v="0"/>
    <x v="0"/>
    <x v="0"/>
    <x v="0"/>
    <x v="13"/>
    <s v="SE08222013"/>
    <x v="1"/>
    <x v="7"/>
    <x v="26"/>
    <x v="30"/>
    <n v="0"/>
  </r>
  <r>
    <n v="49620081"/>
    <x v="19"/>
    <n v="6"/>
    <x v="0"/>
    <n v="2026"/>
    <s v="dr2141"/>
    <x v="0"/>
    <x v="0"/>
    <x v="26"/>
    <s v="Waved Silk-moss"/>
    <x v="0"/>
    <x v="0"/>
    <x v="0"/>
    <x v="0"/>
    <x v="0"/>
    <x v="15"/>
    <x v="25"/>
    <s v="SE07451993"/>
    <x v="1"/>
    <x v="8"/>
    <x v="27"/>
    <x v="31"/>
    <n v="5"/>
  </r>
  <r>
    <n v="49512902"/>
    <x v="0"/>
    <n v="4"/>
    <x v="0"/>
    <n v="2026"/>
    <s v="dr2141"/>
    <x v="0"/>
    <x v="0"/>
    <x v="23"/>
    <s v="Fox-tail Feather-moss"/>
    <x v="0"/>
    <x v="0"/>
    <x v="0"/>
    <x v="0"/>
    <x v="0"/>
    <x v="13"/>
    <x v="22"/>
    <s v="SD96602658"/>
    <x v="0"/>
    <x v="0"/>
    <x v="0"/>
    <x v="0"/>
    <n v="2"/>
  </r>
  <r>
    <n v="48617328"/>
    <x v="20"/>
    <n v="10"/>
    <x v="1"/>
    <n v="2026"/>
    <s v="dr2141"/>
    <x v="0"/>
    <x v="0"/>
    <x v="4"/>
    <s v="Creeping Feather-moss"/>
    <x v="0"/>
    <x v="0"/>
    <x v="0"/>
    <x v="0"/>
    <x v="0"/>
    <x v="3"/>
    <x v="4"/>
    <s v="SE10072540"/>
    <x v="1"/>
    <x v="1"/>
    <x v="28"/>
    <x v="32"/>
    <n v="5"/>
  </r>
  <r>
    <n v="49886861"/>
    <x v="21"/>
    <n v="16"/>
    <x v="1"/>
    <n v="2026"/>
    <s v="dr2141"/>
    <x v="0"/>
    <x v="0"/>
    <x v="27"/>
    <s v="Overleaf Pellia"/>
    <x v="0"/>
    <x v="0"/>
    <x v="3"/>
    <x v="5"/>
    <x v="8"/>
    <x v="16"/>
    <x v="26"/>
    <s v="SD95064931"/>
    <x v="0"/>
    <x v="14"/>
    <x v="29"/>
    <x v="33"/>
    <n v="4"/>
  </r>
  <r>
    <n v="49304206"/>
    <x v="3"/>
    <n v="1"/>
    <x v="0"/>
    <n v="2026"/>
    <s v="dr2141"/>
    <x v="0"/>
    <x v="0"/>
    <x v="8"/>
    <s v="Pointed Spear-moss"/>
    <x v="0"/>
    <x v="0"/>
    <x v="0"/>
    <x v="0"/>
    <x v="0"/>
    <x v="6"/>
    <x v="8"/>
    <s v="SK29618984"/>
    <x v="2"/>
    <x v="3"/>
    <x v="3"/>
    <x v="3"/>
    <n v="6"/>
  </r>
  <r>
    <n v="48605645"/>
    <x v="22"/>
    <n v="9"/>
    <x v="1"/>
    <n v="2026"/>
    <s v="dr736"/>
    <x v="1"/>
    <x v="1"/>
    <x v="19"/>
    <s v="Harlequin Ladybird"/>
    <x v="0"/>
    <x v="1"/>
    <x v="1"/>
    <x v="2"/>
    <x v="2"/>
    <x v="2"/>
    <x v="19"/>
    <s v="SE46052237"/>
    <x v="1"/>
    <x v="13"/>
    <x v="24"/>
    <x v="28"/>
    <n v="9"/>
  </r>
  <r>
    <n v="48667259"/>
    <x v="18"/>
    <n v="14"/>
    <x v="1"/>
    <n v="2026"/>
    <s v="dr2141"/>
    <x v="0"/>
    <x v="0"/>
    <x v="28"/>
    <s v="Common Tamarisk-moss"/>
    <x v="0"/>
    <x v="0"/>
    <x v="0"/>
    <x v="0"/>
    <x v="0"/>
    <x v="17"/>
    <x v="27"/>
    <s v="SD91412822"/>
    <x v="0"/>
    <x v="0"/>
    <x v="25"/>
    <x v="29"/>
    <n v="0"/>
  </r>
  <r>
    <n v="49603675"/>
    <x v="19"/>
    <n v="6"/>
    <x v="0"/>
    <n v="2026"/>
    <s v="dr696"/>
    <x v="1"/>
    <x v="1"/>
    <x v="29"/>
    <s v="Western Conifer Seed Bug"/>
    <x v="0"/>
    <x v="1"/>
    <x v="1"/>
    <x v="2"/>
    <x v="9"/>
    <x v="18"/>
    <x v="28"/>
    <s v="SK342851"/>
    <x v="2"/>
    <x v="10"/>
    <x v="30"/>
    <x v="34"/>
    <n v="2"/>
  </r>
  <r>
    <n v="48741205"/>
    <x v="1"/>
    <n v="22"/>
    <x v="1"/>
    <n v="2026"/>
    <s v="dr2141"/>
    <x v="0"/>
    <x v="0"/>
    <x v="30"/>
    <s v="Hart's-tongue Thyme-moss"/>
    <x v="0"/>
    <x v="0"/>
    <x v="0"/>
    <x v="0"/>
    <x v="4"/>
    <x v="8"/>
    <x v="29"/>
    <s v="SE14722523"/>
    <x v="1"/>
    <x v="1"/>
    <x v="1"/>
    <x v="1"/>
    <n v="5"/>
  </r>
  <r>
    <n v="49671662"/>
    <x v="9"/>
    <n v="9"/>
    <x v="0"/>
    <n v="2026"/>
    <s v="dr2141"/>
    <x v="0"/>
    <x v="0"/>
    <x v="1"/>
    <s v="Common Smoothcap"/>
    <x v="0"/>
    <x v="0"/>
    <x v="0"/>
    <x v="1"/>
    <x v="1"/>
    <x v="1"/>
    <x v="1"/>
    <s v="SE10742690"/>
    <x v="1"/>
    <x v="1"/>
    <x v="10"/>
    <x v="10"/>
    <n v="7"/>
  </r>
  <r>
    <n v="48912687"/>
    <x v="5"/>
    <n v="26"/>
    <x v="1"/>
    <n v="2026"/>
    <s v="dr2141"/>
    <x v="0"/>
    <x v="0"/>
    <x v="10"/>
    <s v="Rough-stalked Feather-moss"/>
    <x v="0"/>
    <x v="0"/>
    <x v="0"/>
    <x v="0"/>
    <x v="0"/>
    <x v="7"/>
    <x v="10"/>
    <s v="SE07372132"/>
    <x v="1"/>
    <x v="7"/>
    <x v="31"/>
    <x v="35"/>
    <n v="9"/>
  </r>
  <r>
    <n v="49303284"/>
    <x v="2"/>
    <n v="31"/>
    <x v="1"/>
    <n v="2026"/>
    <s v="dr2141"/>
    <x v="0"/>
    <x v="0"/>
    <x v="31"/>
    <s v="White Earwort"/>
    <x v="0"/>
    <x v="0"/>
    <x v="3"/>
    <x v="5"/>
    <x v="10"/>
    <x v="19"/>
    <x v="30"/>
    <s v="SD99851748"/>
    <x v="0"/>
    <x v="11"/>
    <x v="14"/>
    <x v="15"/>
    <n v="3"/>
  </r>
  <r>
    <n v="50026524"/>
    <x v="23"/>
    <n v="13"/>
    <x v="0"/>
    <n v="2026"/>
    <s v="dr2141"/>
    <x v="0"/>
    <x v="0"/>
    <x v="32"/>
    <s v="Redshank"/>
    <x v="0"/>
    <x v="0"/>
    <x v="0"/>
    <x v="0"/>
    <x v="5"/>
    <x v="20"/>
    <x v="31"/>
    <s v="SK352851"/>
    <x v="2"/>
    <x v="10"/>
    <x v="30"/>
    <x v="36"/>
    <n v="2"/>
  </r>
  <r>
    <n v="48662108"/>
    <x v="8"/>
    <n v="15"/>
    <x v="1"/>
    <n v="2026"/>
    <s v="dr2141"/>
    <x v="0"/>
    <x v="0"/>
    <x v="26"/>
    <s v="Waved Silk-moss"/>
    <x v="0"/>
    <x v="0"/>
    <x v="0"/>
    <x v="0"/>
    <x v="0"/>
    <x v="15"/>
    <x v="25"/>
    <s v="SE067168"/>
    <x v="1"/>
    <x v="8"/>
    <x v="8"/>
    <x v="37"/>
    <n v="6"/>
  </r>
  <r>
    <n v="49304148"/>
    <x v="3"/>
    <n v="1"/>
    <x v="0"/>
    <n v="2026"/>
    <s v="dr2141"/>
    <x v="0"/>
    <x v="0"/>
    <x v="33"/>
    <s v="Capillary Thread-moss"/>
    <x v="0"/>
    <x v="0"/>
    <x v="0"/>
    <x v="0"/>
    <x v="4"/>
    <x v="12"/>
    <x v="21"/>
    <s v="SK28699048"/>
    <x v="2"/>
    <x v="9"/>
    <x v="12"/>
    <x v="14"/>
    <n v="5"/>
  </r>
  <r>
    <n v="49888479"/>
    <x v="24"/>
    <n v="10"/>
    <x v="0"/>
    <n v="2026"/>
    <s v="dr2141"/>
    <x v="0"/>
    <x v="0"/>
    <x v="0"/>
    <s v="Springy Turf-moss"/>
    <x v="0"/>
    <x v="0"/>
    <x v="0"/>
    <x v="0"/>
    <x v="0"/>
    <x v="0"/>
    <x v="0"/>
    <s v="SE12212972"/>
    <x v="1"/>
    <x v="1"/>
    <x v="32"/>
    <x v="38"/>
    <n v="8"/>
  </r>
  <r>
    <n v="49304155"/>
    <x v="3"/>
    <n v="1"/>
    <x v="0"/>
    <n v="2026"/>
    <s v="dr2141"/>
    <x v="0"/>
    <x v="0"/>
    <x v="34"/>
    <s v="Even Scalewort"/>
    <x v="0"/>
    <x v="0"/>
    <x v="3"/>
    <x v="5"/>
    <x v="11"/>
    <x v="21"/>
    <x v="32"/>
    <s v="SK293900"/>
    <x v="2"/>
    <x v="9"/>
    <x v="12"/>
    <x v="12"/>
    <n v="9"/>
  </r>
  <r>
    <n v="49387272"/>
    <x v="6"/>
    <n v="2"/>
    <x v="0"/>
    <n v="2026"/>
    <s v="dr2141"/>
    <x v="0"/>
    <x v="0"/>
    <x v="35"/>
    <s v="Lustrous Bog-moss"/>
    <x v="0"/>
    <x v="0"/>
    <x v="0"/>
    <x v="4"/>
    <x v="7"/>
    <x v="11"/>
    <x v="17"/>
    <s v="SE20322932"/>
    <x v="1"/>
    <x v="6"/>
    <x v="6"/>
    <x v="6"/>
    <n v="0"/>
  </r>
  <r>
    <n v="48665832"/>
    <x v="8"/>
    <n v="15"/>
    <x v="1"/>
    <n v="2026"/>
    <s v="dr2141"/>
    <x v="0"/>
    <x v="0"/>
    <x v="0"/>
    <s v="Springy Turf-moss"/>
    <x v="0"/>
    <x v="0"/>
    <x v="0"/>
    <x v="0"/>
    <x v="0"/>
    <x v="0"/>
    <x v="0"/>
    <s v="SE07091719"/>
    <x v="1"/>
    <x v="8"/>
    <x v="8"/>
    <x v="8"/>
    <n v="1"/>
  </r>
  <r>
    <n v="50032262"/>
    <x v="15"/>
    <n v="15"/>
    <x v="0"/>
    <n v="2026"/>
    <s v="dr2141"/>
    <x v="0"/>
    <x v="0"/>
    <x v="16"/>
    <s v="Thickpoint Grimmia"/>
    <x v="0"/>
    <x v="0"/>
    <x v="0"/>
    <x v="0"/>
    <x v="6"/>
    <x v="10"/>
    <x v="16"/>
    <s v="SK324817"/>
    <x v="2"/>
    <x v="10"/>
    <x v="20"/>
    <x v="22"/>
    <n v="0"/>
  </r>
  <r>
    <n v="49323239"/>
    <x v="3"/>
    <n v="1"/>
    <x v="0"/>
    <n v="2026"/>
    <s v="dr2141"/>
    <x v="0"/>
    <x v="0"/>
    <x v="9"/>
    <s v="Red-stemmed Feather-moss"/>
    <x v="0"/>
    <x v="0"/>
    <x v="0"/>
    <x v="0"/>
    <x v="0"/>
    <x v="0"/>
    <x v="9"/>
    <s v="SE25202315"/>
    <x v="1"/>
    <x v="6"/>
    <x v="9"/>
    <x v="39"/>
    <n v="1"/>
  </r>
  <r>
    <n v="49711744"/>
    <x v="25"/>
    <n v="8"/>
    <x v="0"/>
    <n v="2026"/>
    <s v="dr736"/>
    <x v="1"/>
    <x v="1"/>
    <x v="18"/>
    <s v="7-spot Ladybird"/>
    <x v="0"/>
    <x v="1"/>
    <x v="1"/>
    <x v="2"/>
    <x v="2"/>
    <x v="2"/>
    <x v="18"/>
    <s v="SD988300"/>
    <x v="0"/>
    <x v="15"/>
    <x v="33"/>
    <x v="40"/>
    <n v="1"/>
  </r>
  <r>
    <n v="48683319"/>
    <x v="26"/>
    <n v="17"/>
    <x v="1"/>
    <n v="2026"/>
    <s v="dr2141"/>
    <x v="0"/>
    <x v="0"/>
    <x v="8"/>
    <s v="Pointed Spear-moss"/>
    <x v="0"/>
    <x v="0"/>
    <x v="0"/>
    <x v="0"/>
    <x v="0"/>
    <x v="6"/>
    <x v="8"/>
    <s v="SE167293"/>
    <x v="1"/>
    <x v="1"/>
    <x v="34"/>
    <x v="41"/>
    <n v="1"/>
  </r>
  <r>
    <n v="49888478"/>
    <x v="24"/>
    <n v="10"/>
    <x v="0"/>
    <n v="2026"/>
    <s v="dr2141"/>
    <x v="0"/>
    <x v="0"/>
    <x v="14"/>
    <s v="Common Feather-moss"/>
    <x v="0"/>
    <x v="0"/>
    <x v="0"/>
    <x v="0"/>
    <x v="0"/>
    <x v="7"/>
    <x v="14"/>
    <s v="SE12113007"/>
    <x v="1"/>
    <x v="4"/>
    <x v="35"/>
    <x v="42"/>
    <n v="0"/>
  </r>
  <r>
    <n v="48675008"/>
    <x v="21"/>
    <n v="16"/>
    <x v="1"/>
    <n v="2026"/>
    <s v="dr2141"/>
    <x v="0"/>
    <x v="0"/>
    <x v="15"/>
    <s v="Grey-cushioned Grimmia"/>
    <x v="0"/>
    <x v="0"/>
    <x v="0"/>
    <x v="0"/>
    <x v="6"/>
    <x v="10"/>
    <x v="15"/>
    <s v="SE02072393"/>
    <x v="1"/>
    <x v="7"/>
    <x v="36"/>
    <x v="43"/>
    <n v="2"/>
  </r>
  <r>
    <n v="49246326"/>
    <x v="11"/>
    <n v="30"/>
    <x v="1"/>
    <n v="2026"/>
    <s v="dr2141"/>
    <x v="0"/>
    <x v="0"/>
    <x v="36"/>
    <s v="Cylindric Beard-moss"/>
    <x v="0"/>
    <x v="0"/>
    <x v="0"/>
    <x v="0"/>
    <x v="5"/>
    <x v="22"/>
    <x v="33"/>
    <s v="SK375865"/>
    <x v="2"/>
    <x v="10"/>
    <x v="13"/>
    <x v="13"/>
    <n v="3"/>
  </r>
  <r>
    <n v="49297870"/>
    <x v="2"/>
    <n v="31"/>
    <x v="1"/>
    <n v="2026"/>
    <s v="dr1215"/>
    <x v="3"/>
    <x v="3"/>
    <x v="37"/>
    <s v="Green Shieldbug"/>
    <x v="0"/>
    <x v="1"/>
    <x v="1"/>
    <x v="2"/>
    <x v="9"/>
    <x v="23"/>
    <x v="34"/>
    <s v="SE562045"/>
    <x v="1"/>
    <x v="12"/>
    <x v="22"/>
    <x v="24"/>
    <n v="4"/>
  </r>
  <r>
    <n v="49303289"/>
    <x v="2"/>
    <n v="31"/>
    <x v="1"/>
    <n v="2026"/>
    <s v="dr2141"/>
    <x v="0"/>
    <x v="0"/>
    <x v="38"/>
    <s v="Blunt-leaved Bog-moss"/>
    <x v="0"/>
    <x v="0"/>
    <x v="0"/>
    <x v="4"/>
    <x v="7"/>
    <x v="11"/>
    <x v="17"/>
    <s v="SE00151714"/>
    <x v="1"/>
    <x v="8"/>
    <x v="23"/>
    <x v="44"/>
    <n v="5"/>
  </r>
  <r>
    <n v="49724505"/>
    <x v="11"/>
    <n v="30"/>
    <x v="1"/>
    <n v="2026"/>
    <s v="dr2141"/>
    <x v="0"/>
    <x v="0"/>
    <x v="10"/>
    <s v="Rough-stalked Feather-moss"/>
    <x v="0"/>
    <x v="0"/>
    <x v="0"/>
    <x v="0"/>
    <x v="0"/>
    <x v="7"/>
    <x v="10"/>
    <s v="SE16752267"/>
    <x v="1"/>
    <x v="1"/>
    <x v="37"/>
    <x v="45"/>
    <n v="6"/>
  </r>
  <r>
    <n v="49298507"/>
    <x v="2"/>
    <n v="31"/>
    <x v="1"/>
    <n v="2026"/>
    <s v="dr2141"/>
    <x v="0"/>
    <x v="0"/>
    <x v="25"/>
    <s v="Neat Feather-moss"/>
    <x v="0"/>
    <x v="0"/>
    <x v="0"/>
    <x v="0"/>
    <x v="0"/>
    <x v="7"/>
    <x v="24"/>
    <s v="SE00771823"/>
    <x v="1"/>
    <x v="8"/>
    <x v="18"/>
    <x v="25"/>
    <n v="8"/>
  </r>
  <r>
    <n v="48683320"/>
    <x v="26"/>
    <n v="17"/>
    <x v="1"/>
    <n v="2026"/>
    <s v="dr2141"/>
    <x v="0"/>
    <x v="0"/>
    <x v="4"/>
    <s v="Creeping Feather-moss"/>
    <x v="0"/>
    <x v="0"/>
    <x v="0"/>
    <x v="0"/>
    <x v="0"/>
    <x v="3"/>
    <x v="4"/>
    <s v="SE16572942"/>
    <x v="1"/>
    <x v="1"/>
    <x v="34"/>
    <x v="41"/>
    <n v="9"/>
  </r>
  <r>
    <n v="48995016"/>
    <x v="16"/>
    <n v="23"/>
    <x v="1"/>
    <n v="2026"/>
    <s v="dr2141"/>
    <x v="0"/>
    <x v="0"/>
    <x v="9"/>
    <s v="Red-stemmed Feather-moss"/>
    <x v="0"/>
    <x v="0"/>
    <x v="0"/>
    <x v="0"/>
    <x v="0"/>
    <x v="0"/>
    <x v="9"/>
    <s v="SE11922039"/>
    <x v="1"/>
    <x v="1"/>
    <x v="21"/>
    <x v="23"/>
    <n v="5"/>
  </r>
  <r>
    <n v="49620069"/>
    <x v="19"/>
    <n v="6"/>
    <x v="0"/>
    <n v="2026"/>
    <s v="dr2141"/>
    <x v="0"/>
    <x v="0"/>
    <x v="9"/>
    <s v="Red-stemmed Feather-moss"/>
    <x v="0"/>
    <x v="0"/>
    <x v="0"/>
    <x v="0"/>
    <x v="0"/>
    <x v="0"/>
    <x v="9"/>
    <s v="SE08232013"/>
    <x v="1"/>
    <x v="7"/>
    <x v="26"/>
    <x v="30"/>
    <n v="2"/>
  </r>
  <r>
    <n v="49724556"/>
    <x v="9"/>
    <n v="9"/>
    <x v="0"/>
    <n v="2026"/>
    <s v="dr2141"/>
    <x v="0"/>
    <x v="0"/>
    <x v="6"/>
    <s v="Heath Plait-moss"/>
    <x v="0"/>
    <x v="0"/>
    <x v="0"/>
    <x v="0"/>
    <x v="0"/>
    <x v="5"/>
    <x v="6"/>
    <s v="SE10842654"/>
    <x v="1"/>
    <x v="1"/>
    <x v="10"/>
    <x v="10"/>
    <n v="1"/>
  </r>
  <r>
    <n v="49517752"/>
    <x v="0"/>
    <n v="4"/>
    <x v="0"/>
    <n v="2026"/>
    <s v="dr2141"/>
    <x v="0"/>
    <x v="0"/>
    <x v="12"/>
    <s v="Broom Fork-moss"/>
    <x v="0"/>
    <x v="0"/>
    <x v="0"/>
    <x v="0"/>
    <x v="5"/>
    <x v="9"/>
    <x v="12"/>
    <s v="SD96532679"/>
    <x v="0"/>
    <x v="0"/>
    <x v="0"/>
    <x v="0"/>
    <n v="4"/>
  </r>
  <r>
    <n v="50032448"/>
    <x v="15"/>
    <n v="15"/>
    <x v="0"/>
    <n v="2026"/>
    <s v="dr2141"/>
    <x v="0"/>
    <x v="0"/>
    <x v="33"/>
    <s v="Capillary Thread-moss"/>
    <x v="0"/>
    <x v="0"/>
    <x v="0"/>
    <x v="0"/>
    <x v="4"/>
    <x v="12"/>
    <x v="21"/>
    <s v="SK324818"/>
    <x v="2"/>
    <x v="10"/>
    <x v="20"/>
    <x v="22"/>
    <n v="6"/>
  </r>
  <r>
    <n v="48683318"/>
    <x v="26"/>
    <n v="17"/>
    <x v="1"/>
    <n v="2026"/>
    <s v="dr2141"/>
    <x v="0"/>
    <x v="0"/>
    <x v="1"/>
    <s v="Common Smoothcap"/>
    <x v="0"/>
    <x v="0"/>
    <x v="0"/>
    <x v="1"/>
    <x v="1"/>
    <x v="1"/>
    <x v="1"/>
    <s v="SE16402950"/>
    <x v="1"/>
    <x v="1"/>
    <x v="34"/>
    <x v="41"/>
    <n v="8"/>
  </r>
  <r>
    <n v="48722318"/>
    <x v="27"/>
    <n v="20"/>
    <x v="1"/>
    <n v="2026"/>
    <s v="dr2141"/>
    <x v="0"/>
    <x v="0"/>
    <x v="0"/>
    <s v="Springy Turf-moss"/>
    <x v="0"/>
    <x v="0"/>
    <x v="0"/>
    <x v="0"/>
    <x v="0"/>
    <x v="0"/>
    <x v="0"/>
    <s v="SE09343387"/>
    <x v="1"/>
    <x v="16"/>
    <x v="38"/>
    <x v="46"/>
    <n v="7"/>
  </r>
  <r>
    <n v="49517749"/>
    <x v="0"/>
    <n v="4"/>
    <x v="0"/>
    <n v="2026"/>
    <s v="dr2141"/>
    <x v="0"/>
    <x v="0"/>
    <x v="6"/>
    <s v="Heath Plait-moss"/>
    <x v="0"/>
    <x v="0"/>
    <x v="0"/>
    <x v="0"/>
    <x v="0"/>
    <x v="5"/>
    <x v="6"/>
    <s v="SD96712651"/>
    <x v="0"/>
    <x v="0"/>
    <x v="0"/>
    <x v="0"/>
    <n v="9"/>
  </r>
  <r>
    <n v="48665827"/>
    <x v="8"/>
    <n v="15"/>
    <x v="1"/>
    <n v="2026"/>
    <s v="dr2141"/>
    <x v="0"/>
    <x v="0"/>
    <x v="25"/>
    <s v="Neat Feather-moss"/>
    <x v="0"/>
    <x v="0"/>
    <x v="0"/>
    <x v="0"/>
    <x v="0"/>
    <x v="7"/>
    <x v="24"/>
    <s v="SE07121706"/>
    <x v="1"/>
    <x v="8"/>
    <x v="8"/>
    <x v="8"/>
    <n v="2"/>
  </r>
  <r>
    <n v="48675300"/>
    <x v="21"/>
    <n v="16"/>
    <x v="1"/>
    <n v="2026"/>
    <s v="dr2141"/>
    <x v="0"/>
    <x v="0"/>
    <x v="28"/>
    <s v="Common Tamarisk-moss"/>
    <x v="0"/>
    <x v="0"/>
    <x v="0"/>
    <x v="0"/>
    <x v="0"/>
    <x v="17"/>
    <x v="27"/>
    <s v="SE01772384"/>
    <x v="1"/>
    <x v="7"/>
    <x v="39"/>
    <x v="47"/>
    <n v="4"/>
  </r>
  <r>
    <n v="49961777"/>
    <x v="12"/>
    <n v="12"/>
    <x v="0"/>
    <n v="2026"/>
    <s v="dr2141"/>
    <x v="0"/>
    <x v="0"/>
    <x v="0"/>
    <s v="Springy Turf-moss"/>
    <x v="0"/>
    <x v="0"/>
    <x v="0"/>
    <x v="0"/>
    <x v="0"/>
    <x v="0"/>
    <x v="0"/>
    <s v="SK346873"/>
    <x v="2"/>
    <x v="10"/>
    <x v="19"/>
    <x v="21"/>
    <n v="5"/>
  </r>
  <r>
    <n v="49395894"/>
    <x v="6"/>
    <n v="2"/>
    <x v="0"/>
    <n v="2026"/>
    <s v="dr2141"/>
    <x v="0"/>
    <x v="0"/>
    <x v="39"/>
    <s v="Flat-topped Bog-moss"/>
    <x v="0"/>
    <x v="0"/>
    <x v="0"/>
    <x v="4"/>
    <x v="7"/>
    <x v="11"/>
    <x v="17"/>
    <s v="SE20332931"/>
    <x v="1"/>
    <x v="6"/>
    <x v="6"/>
    <x v="6"/>
    <n v="6"/>
  </r>
  <r>
    <n v="49961968"/>
    <x v="12"/>
    <n v="12"/>
    <x v="0"/>
    <n v="2026"/>
    <s v="dr2141"/>
    <x v="0"/>
    <x v="0"/>
    <x v="40"/>
    <s v="Wall Screw-moss"/>
    <x v="0"/>
    <x v="0"/>
    <x v="0"/>
    <x v="0"/>
    <x v="5"/>
    <x v="22"/>
    <x v="35"/>
    <s v="SK346873"/>
    <x v="2"/>
    <x v="10"/>
    <x v="19"/>
    <x v="21"/>
    <n v="2"/>
  </r>
  <r>
    <n v="49303486"/>
    <x v="2"/>
    <n v="31"/>
    <x v="1"/>
    <n v="2026"/>
    <s v="dr2141"/>
    <x v="0"/>
    <x v="0"/>
    <x v="41"/>
    <s v="Common Haircap"/>
    <x v="1"/>
    <x v="0"/>
    <x v="0"/>
    <x v="1"/>
    <x v="1"/>
    <x v="1"/>
    <x v="36"/>
    <s v="SD99901722"/>
    <x v="0"/>
    <x v="11"/>
    <x v="14"/>
    <x v="15"/>
    <n v="8"/>
  </r>
  <r>
    <n v="50023797"/>
    <x v="23"/>
    <n v="13"/>
    <x v="0"/>
    <n v="2026"/>
    <s v="dr2141"/>
    <x v="0"/>
    <x v="0"/>
    <x v="40"/>
    <s v="Wall Screw-moss"/>
    <x v="0"/>
    <x v="0"/>
    <x v="0"/>
    <x v="0"/>
    <x v="5"/>
    <x v="22"/>
    <x v="35"/>
    <s v="SK352850"/>
    <x v="2"/>
    <x v="10"/>
    <x v="30"/>
    <x v="36"/>
    <n v="6"/>
  </r>
  <r>
    <n v="49303950"/>
    <x v="3"/>
    <n v="1"/>
    <x v="0"/>
    <n v="2026"/>
    <s v="dr2141"/>
    <x v="0"/>
    <x v="0"/>
    <x v="20"/>
    <s v="Silky Wall Feather-moss"/>
    <x v="0"/>
    <x v="0"/>
    <x v="0"/>
    <x v="0"/>
    <x v="0"/>
    <x v="7"/>
    <x v="20"/>
    <s v="SK292903"/>
    <x v="2"/>
    <x v="9"/>
    <x v="12"/>
    <x v="12"/>
    <n v="1"/>
  </r>
  <r>
    <n v="48722320"/>
    <x v="27"/>
    <n v="20"/>
    <x v="1"/>
    <n v="2026"/>
    <s v="dr2141"/>
    <x v="0"/>
    <x v="0"/>
    <x v="14"/>
    <s v="Common Feather-moss"/>
    <x v="0"/>
    <x v="0"/>
    <x v="0"/>
    <x v="0"/>
    <x v="0"/>
    <x v="7"/>
    <x v="14"/>
    <s v="SE09353390"/>
    <x v="1"/>
    <x v="16"/>
    <x v="38"/>
    <x v="46"/>
    <n v="0"/>
  </r>
  <r>
    <n v="50032498"/>
    <x v="15"/>
    <n v="15"/>
    <x v="0"/>
    <n v="2026"/>
    <s v="dr2141"/>
    <x v="0"/>
    <x v="0"/>
    <x v="42"/>
    <s v="Spiral Extinguisher-moss"/>
    <x v="0"/>
    <x v="0"/>
    <x v="0"/>
    <x v="0"/>
    <x v="12"/>
    <x v="24"/>
    <x v="37"/>
    <s v="SK325820"/>
    <x v="2"/>
    <x v="10"/>
    <x v="40"/>
    <x v="48"/>
    <n v="0"/>
  </r>
  <r>
    <n v="49512911"/>
    <x v="0"/>
    <n v="4"/>
    <x v="0"/>
    <n v="2026"/>
    <s v="dr2141"/>
    <x v="0"/>
    <x v="0"/>
    <x v="26"/>
    <s v="Waved Silk-moss"/>
    <x v="0"/>
    <x v="0"/>
    <x v="0"/>
    <x v="0"/>
    <x v="0"/>
    <x v="15"/>
    <x v="25"/>
    <s v="SD96632661"/>
    <x v="0"/>
    <x v="0"/>
    <x v="0"/>
    <x v="0"/>
    <n v="0"/>
  </r>
  <r>
    <n v="49303225"/>
    <x v="2"/>
    <n v="31"/>
    <x v="1"/>
    <n v="2026"/>
    <s v="dr2141"/>
    <x v="0"/>
    <x v="0"/>
    <x v="35"/>
    <s v="Lustrous Bog-moss"/>
    <x v="0"/>
    <x v="0"/>
    <x v="0"/>
    <x v="4"/>
    <x v="7"/>
    <x v="11"/>
    <x v="17"/>
    <s v="SE01911714"/>
    <x v="1"/>
    <x v="8"/>
    <x v="23"/>
    <x v="27"/>
    <n v="3"/>
  </r>
  <r>
    <n v="49304004"/>
    <x v="3"/>
    <n v="1"/>
    <x v="0"/>
    <n v="2026"/>
    <s v="dr2141"/>
    <x v="0"/>
    <x v="0"/>
    <x v="43"/>
    <s v="Cypress-leaved Plait-moss"/>
    <x v="0"/>
    <x v="0"/>
    <x v="0"/>
    <x v="0"/>
    <x v="0"/>
    <x v="5"/>
    <x v="6"/>
    <s v="SK28779034"/>
    <x v="2"/>
    <x v="9"/>
    <x v="12"/>
    <x v="14"/>
    <n v="5"/>
  </r>
  <r>
    <n v="49724523"/>
    <x v="0"/>
    <n v="4"/>
    <x v="0"/>
    <n v="2026"/>
    <s v="dr2141"/>
    <x v="0"/>
    <x v="0"/>
    <x v="44"/>
    <s v="Bank Haircap"/>
    <x v="0"/>
    <x v="0"/>
    <x v="0"/>
    <x v="1"/>
    <x v="1"/>
    <x v="1"/>
    <x v="36"/>
    <s v="SD965267"/>
    <x v="0"/>
    <x v="0"/>
    <x v="0"/>
    <x v="0"/>
    <n v="6"/>
  </r>
  <r>
    <n v="48675301"/>
    <x v="21"/>
    <n v="16"/>
    <x v="1"/>
    <n v="2026"/>
    <s v="dr2141"/>
    <x v="0"/>
    <x v="0"/>
    <x v="0"/>
    <s v="Springy Turf-moss"/>
    <x v="0"/>
    <x v="0"/>
    <x v="0"/>
    <x v="0"/>
    <x v="0"/>
    <x v="0"/>
    <x v="0"/>
    <s v="SE01682385"/>
    <x v="1"/>
    <x v="7"/>
    <x v="39"/>
    <x v="47"/>
    <n v="7"/>
  </r>
  <r>
    <n v="49298823"/>
    <x v="2"/>
    <n v="31"/>
    <x v="1"/>
    <n v="2026"/>
    <s v="dr2141"/>
    <x v="0"/>
    <x v="0"/>
    <x v="45"/>
    <s v="Bog Groove-moss"/>
    <x v="0"/>
    <x v="0"/>
    <x v="0"/>
    <x v="0"/>
    <x v="13"/>
    <x v="25"/>
    <x v="38"/>
    <s v="SE01981718"/>
    <x v="1"/>
    <x v="8"/>
    <x v="23"/>
    <x v="27"/>
    <n v="8"/>
  </r>
  <r>
    <n v="49888150"/>
    <x v="7"/>
    <n v="11"/>
    <x v="0"/>
    <n v="2026"/>
    <s v="dr2141"/>
    <x v="0"/>
    <x v="0"/>
    <x v="14"/>
    <s v="Common Feather-moss"/>
    <x v="0"/>
    <x v="0"/>
    <x v="0"/>
    <x v="0"/>
    <x v="0"/>
    <x v="7"/>
    <x v="14"/>
    <s v="SE06572693"/>
    <x v="1"/>
    <x v="7"/>
    <x v="7"/>
    <x v="7"/>
    <n v="9"/>
  </r>
  <r>
    <n v="49962485"/>
    <x v="12"/>
    <n v="12"/>
    <x v="0"/>
    <n v="2026"/>
    <s v="dr2141"/>
    <x v="0"/>
    <x v="0"/>
    <x v="46"/>
    <s v="Bristly Haircap"/>
    <x v="0"/>
    <x v="0"/>
    <x v="0"/>
    <x v="1"/>
    <x v="1"/>
    <x v="1"/>
    <x v="36"/>
    <s v="SE13712070"/>
    <x v="1"/>
    <x v="1"/>
    <x v="15"/>
    <x v="16"/>
    <n v="2"/>
  </r>
  <r>
    <n v="49249979"/>
    <x v="28"/>
    <n v="29"/>
    <x v="1"/>
    <n v="2026"/>
    <s v="dr2141"/>
    <x v="0"/>
    <x v="0"/>
    <x v="47"/>
    <s v="Anomalous Bristle-moss"/>
    <x v="0"/>
    <x v="0"/>
    <x v="0"/>
    <x v="0"/>
    <x v="14"/>
    <x v="26"/>
    <x v="39"/>
    <s v="SK358877"/>
    <x v="2"/>
    <x v="10"/>
    <x v="19"/>
    <x v="26"/>
    <n v="5"/>
  </r>
  <r>
    <n v="49888476"/>
    <x v="9"/>
    <n v="9"/>
    <x v="0"/>
    <n v="2026"/>
    <s v="dr2141"/>
    <x v="0"/>
    <x v="0"/>
    <x v="48"/>
    <s v="Southern Crestwort"/>
    <x v="0"/>
    <x v="0"/>
    <x v="3"/>
    <x v="5"/>
    <x v="10"/>
    <x v="27"/>
    <x v="40"/>
    <s v="SE10722683"/>
    <x v="1"/>
    <x v="1"/>
    <x v="10"/>
    <x v="10"/>
    <n v="5"/>
  </r>
  <r>
    <n v="50032163"/>
    <x v="15"/>
    <n v="15"/>
    <x v="0"/>
    <n v="2026"/>
    <s v="dr2141"/>
    <x v="0"/>
    <x v="0"/>
    <x v="14"/>
    <s v="Common Feather-moss"/>
    <x v="0"/>
    <x v="0"/>
    <x v="0"/>
    <x v="0"/>
    <x v="0"/>
    <x v="7"/>
    <x v="14"/>
    <s v="SK323817"/>
    <x v="2"/>
    <x v="10"/>
    <x v="20"/>
    <x v="22"/>
    <n v="0"/>
  </r>
  <r>
    <n v="48433119"/>
    <x v="29"/>
    <n v="2"/>
    <x v="1"/>
    <n v="2026"/>
    <s v="dr2141"/>
    <x v="0"/>
    <x v="0"/>
    <x v="49"/>
    <s v="Flamingo-moss"/>
    <x v="0"/>
    <x v="0"/>
    <x v="0"/>
    <x v="0"/>
    <x v="5"/>
    <x v="22"/>
    <x v="35"/>
    <s v="SE53800102"/>
    <x v="1"/>
    <x v="12"/>
    <x v="41"/>
    <x v="49"/>
    <n v="0"/>
  </r>
  <r>
    <n v="49961832"/>
    <x v="12"/>
    <n v="12"/>
    <x v="0"/>
    <n v="2026"/>
    <s v="dr2141"/>
    <x v="0"/>
    <x v="0"/>
    <x v="33"/>
    <s v="Capillary Thread-moss"/>
    <x v="0"/>
    <x v="0"/>
    <x v="0"/>
    <x v="0"/>
    <x v="4"/>
    <x v="12"/>
    <x v="21"/>
    <s v="SK347873"/>
    <x v="2"/>
    <x v="10"/>
    <x v="19"/>
    <x v="21"/>
    <n v="5"/>
  </r>
  <r>
    <n v="50026505"/>
    <x v="23"/>
    <n v="13"/>
    <x v="0"/>
    <n v="2026"/>
    <s v="dr2141"/>
    <x v="0"/>
    <x v="0"/>
    <x v="47"/>
    <s v="Anomalous Bristle-moss"/>
    <x v="0"/>
    <x v="0"/>
    <x v="0"/>
    <x v="0"/>
    <x v="14"/>
    <x v="26"/>
    <x v="39"/>
    <s v="SK352850"/>
    <x v="2"/>
    <x v="10"/>
    <x v="30"/>
    <x v="36"/>
    <n v="4"/>
  </r>
  <r>
    <n v="48471820"/>
    <x v="29"/>
    <n v="2"/>
    <x v="1"/>
    <n v="2026"/>
    <s v="dr2141"/>
    <x v="0"/>
    <x v="0"/>
    <x v="50"/>
    <s v="Many-seasoned Thread-moss"/>
    <x v="0"/>
    <x v="0"/>
    <x v="0"/>
    <x v="0"/>
    <x v="4"/>
    <x v="12"/>
    <x v="21"/>
    <s v="SE53790101"/>
    <x v="1"/>
    <x v="12"/>
    <x v="41"/>
    <x v="49"/>
    <n v="6"/>
  </r>
  <r>
    <n v="49724495"/>
    <x v="10"/>
    <n v="28"/>
    <x v="1"/>
    <n v="2026"/>
    <s v="dr2141"/>
    <x v="0"/>
    <x v="0"/>
    <x v="28"/>
    <s v="Common Tamarisk-moss"/>
    <x v="0"/>
    <x v="0"/>
    <x v="0"/>
    <x v="0"/>
    <x v="0"/>
    <x v="17"/>
    <x v="27"/>
    <s v="SE01092069"/>
    <x v="1"/>
    <x v="7"/>
    <x v="11"/>
    <x v="11"/>
    <n v="2"/>
  </r>
  <r>
    <n v="49512957"/>
    <x v="0"/>
    <n v="4"/>
    <x v="0"/>
    <n v="2026"/>
    <s v="dr2141"/>
    <x v="0"/>
    <x v="0"/>
    <x v="33"/>
    <s v="Capillary Thread-moss"/>
    <x v="0"/>
    <x v="0"/>
    <x v="0"/>
    <x v="0"/>
    <x v="4"/>
    <x v="12"/>
    <x v="21"/>
    <s v="SK355880"/>
    <x v="2"/>
    <x v="10"/>
    <x v="42"/>
    <x v="50"/>
    <n v="7"/>
  </r>
  <r>
    <n v="49517750"/>
    <x v="0"/>
    <n v="4"/>
    <x v="0"/>
    <n v="2026"/>
    <s v="dr2141"/>
    <x v="0"/>
    <x v="0"/>
    <x v="51"/>
    <s v="Water Earwort"/>
    <x v="0"/>
    <x v="0"/>
    <x v="3"/>
    <x v="5"/>
    <x v="10"/>
    <x v="19"/>
    <x v="41"/>
    <s v="SD96422674"/>
    <x v="0"/>
    <x v="0"/>
    <x v="0"/>
    <x v="0"/>
    <n v="6"/>
  </r>
  <r>
    <n v="49516326"/>
    <x v="21"/>
    <n v="16"/>
    <x v="1"/>
    <n v="2026"/>
    <s v="dr2141"/>
    <x v="0"/>
    <x v="0"/>
    <x v="6"/>
    <s v="Heath Plait-moss"/>
    <x v="0"/>
    <x v="0"/>
    <x v="0"/>
    <x v="0"/>
    <x v="0"/>
    <x v="5"/>
    <x v="6"/>
    <s v="SD92795240"/>
    <x v="0"/>
    <x v="17"/>
    <x v="43"/>
    <x v="51"/>
    <n v="2"/>
  </r>
  <r>
    <n v="50347508"/>
    <x v="30"/>
    <n v="24"/>
    <x v="0"/>
    <n v="2026"/>
    <s v="dr736"/>
    <x v="1"/>
    <x v="1"/>
    <x v="19"/>
    <s v="Harlequin Ladybird"/>
    <x v="0"/>
    <x v="1"/>
    <x v="1"/>
    <x v="2"/>
    <x v="2"/>
    <x v="2"/>
    <x v="19"/>
    <s v="SK477936"/>
    <x v="2"/>
    <x v="2"/>
    <x v="44"/>
    <x v="52"/>
    <n v="1"/>
  </r>
  <r>
    <n v="49250017"/>
    <x v="28"/>
    <n v="29"/>
    <x v="1"/>
    <n v="2026"/>
    <s v="dr2141"/>
    <x v="0"/>
    <x v="0"/>
    <x v="15"/>
    <s v="Grey-cushioned Grimmia"/>
    <x v="0"/>
    <x v="0"/>
    <x v="0"/>
    <x v="0"/>
    <x v="6"/>
    <x v="10"/>
    <x v="15"/>
    <s v="SK361880"/>
    <x v="2"/>
    <x v="10"/>
    <x v="45"/>
    <x v="53"/>
    <n v="0"/>
  </r>
  <r>
    <n v="50032144"/>
    <x v="15"/>
    <n v="15"/>
    <x v="0"/>
    <n v="2026"/>
    <s v="dr2141"/>
    <x v="0"/>
    <x v="0"/>
    <x v="34"/>
    <s v="Even Scalewort"/>
    <x v="0"/>
    <x v="0"/>
    <x v="3"/>
    <x v="5"/>
    <x v="11"/>
    <x v="21"/>
    <x v="32"/>
    <s v="SK322818"/>
    <x v="2"/>
    <x v="10"/>
    <x v="20"/>
    <x v="22"/>
    <n v="0"/>
  </r>
  <r>
    <n v="50023642"/>
    <x v="13"/>
    <n v="14"/>
    <x v="0"/>
    <n v="2026"/>
    <s v="dr736"/>
    <x v="1"/>
    <x v="1"/>
    <x v="18"/>
    <s v="7-spot Ladybird"/>
    <x v="0"/>
    <x v="1"/>
    <x v="1"/>
    <x v="2"/>
    <x v="2"/>
    <x v="2"/>
    <x v="18"/>
    <s v="SE562045"/>
    <x v="1"/>
    <x v="12"/>
    <x v="22"/>
    <x v="24"/>
    <n v="5"/>
  </r>
  <r>
    <n v="49620073"/>
    <x v="19"/>
    <n v="6"/>
    <x v="0"/>
    <n v="2026"/>
    <s v="dr2141"/>
    <x v="0"/>
    <x v="0"/>
    <x v="14"/>
    <s v="Common Feather-moss"/>
    <x v="0"/>
    <x v="0"/>
    <x v="0"/>
    <x v="0"/>
    <x v="0"/>
    <x v="7"/>
    <x v="14"/>
    <s v="SE08142012"/>
    <x v="1"/>
    <x v="7"/>
    <x v="26"/>
    <x v="30"/>
    <n v="0"/>
  </r>
  <r>
    <n v="48667258"/>
    <x v="18"/>
    <n v="14"/>
    <x v="1"/>
    <n v="2026"/>
    <s v="dr2141"/>
    <x v="0"/>
    <x v="0"/>
    <x v="13"/>
    <s v="Glittering Wood-moss"/>
    <x v="0"/>
    <x v="0"/>
    <x v="0"/>
    <x v="0"/>
    <x v="0"/>
    <x v="0"/>
    <x v="13"/>
    <s v="SD913282"/>
    <x v="0"/>
    <x v="0"/>
    <x v="25"/>
    <x v="29"/>
    <n v="9"/>
  </r>
  <r>
    <n v="49724558"/>
    <x v="9"/>
    <n v="9"/>
    <x v="0"/>
    <n v="2026"/>
    <s v="dr2141"/>
    <x v="0"/>
    <x v="0"/>
    <x v="46"/>
    <s v="Bristly Haircap"/>
    <x v="0"/>
    <x v="0"/>
    <x v="0"/>
    <x v="1"/>
    <x v="1"/>
    <x v="1"/>
    <x v="36"/>
    <s v="SE10812659"/>
    <x v="1"/>
    <x v="1"/>
    <x v="10"/>
    <x v="10"/>
    <n v="6"/>
  </r>
  <r>
    <n v="48646424"/>
    <x v="31"/>
    <n v="13"/>
    <x v="1"/>
    <n v="2026"/>
    <s v="dr2141"/>
    <x v="0"/>
    <x v="0"/>
    <x v="25"/>
    <s v="Neat Feather-moss"/>
    <x v="0"/>
    <x v="0"/>
    <x v="0"/>
    <x v="0"/>
    <x v="0"/>
    <x v="7"/>
    <x v="24"/>
    <s v="SE055252"/>
    <x v="1"/>
    <x v="7"/>
    <x v="46"/>
    <x v="54"/>
    <n v="5"/>
  </r>
  <r>
    <n v="49303870"/>
    <x v="3"/>
    <n v="1"/>
    <x v="0"/>
    <n v="2026"/>
    <s v="dr2141"/>
    <x v="0"/>
    <x v="0"/>
    <x v="1"/>
    <s v="Common Smoothcap"/>
    <x v="0"/>
    <x v="0"/>
    <x v="0"/>
    <x v="1"/>
    <x v="1"/>
    <x v="1"/>
    <x v="1"/>
    <s v="SK292901"/>
    <x v="2"/>
    <x v="9"/>
    <x v="12"/>
    <x v="12"/>
    <n v="1"/>
  </r>
  <r>
    <n v="49962498"/>
    <x v="12"/>
    <n v="12"/>
    <x v="0"/>
    <n v="2026"/>
    <s v="dr1215"/>
    <x v="3"/>
    <x v="3"/>
    <x v="29"/>
    <s v="Western Conifer Seed Bug"/>
    <x v="0"/>
    <x v="1"/>
    <x v="1"/>
    <x v="2"/>
    <x v="9"/>
    <x v="18"/>
    <x v="28"/>
    <s v="SE442169"/>
    <x v="1"/>
    <x v="18"/>
    <x v="47"/>
    <x v="55"/>
    <n v="0"/>
  </r>
  <r>
    <n v="49724525"/>
    <x v="0"/>
    <n v="4"/>
    <x v="0"/>
    <n v="2026"/>
    <s v="dr2141"/>
    <x v="0"/>
    <x v="0"/>
    <x v="52"/>
    <s v="Juniper Haircap"/>
    <x v="0"/>
    <x v="0"/>
    <x v="0"/>
    <x v="1"/>
    <x v="1"/>
    <x v="1"/>
    <x v="36"/>
    <s v="SD965267"/>
    <x v="0"/>
    <x v="0"/>
    <x v="0"/>
    <x v="0"/>
    <n v="8"/>
  </r>
  <r>
    <n v="49381977"/>
    <x v="6"/>
    <n v="2"/>
    <x v="0"/>
    <n v="2026"/>
    <s v="dr2141"/>
    <x v="0"/>
    <x v="0"/>
    <x v="14"/>
    <s v="Common Feather-moss"/>
    <x v="0"/>
    <x v="0"/>
    <x v="0"/>
    <x v="0"/>
    <x v="0"/>
    <x v="7"/>
    <x v="14"/>
    <s v="SE20302931"/>
    <x v="1"/>
    <x v="6"/>
    <x v="6"/>
    <x v="6"/>
    <n v="9"/>
  </r>
  <r>
    <n v="49888483"/>
    <x v="7"/>
    <n v="11"/>
    <x v="0"/>
    <n v="2026"/>
    <s v="dr2141"/>
    <x v="0"/>
    <x v="0"/>
    <x v="25"/>
    <s v="Neat Feather-moss"/>
    <x v="0"/>
    <x v="0"/>
    <x v="0"/>
    <x v="0"/>
    <x v="0"/>
    <x v="7"/>
    <x v="24"/>
    <s v="SE08522594"/>
    <x v="1"/>
    <x v="7"/>
    <x v="48"/>
    <x v="56"/>
    <n v="0"/>
  </r>
  <r>
    <n v="49298812"/>
    <x v="2"/>
    <n v="31"/>
    <x v="1"/>
    <n v="2026"/>
    <s v="dr2141"/>
    <x v="0"/>
    <x v="0"/>
    <x v="53"/>
    <s v="Big Shaggy-moss"/>
    <x v="0"/>
    <x v="0"/>
    <x v="0"/>
    <x v="0"/>
    <x v="0"/>
    <x v="0"/>
    <x v="42"/>
    <s v="SD99761731"/>
    <x v="0"/>
    <x v="11"/>
    <x v="14"/>
    <x v="15"/>
    <n v="5"/>
  </r>
  <r>
    <n v="49298811"/>
    <x v="2"/>
    <n v="31"/>
    <x v="1"/>
    <n v="2026"/>
    <s v="dr2141"/>
    <x v="0"/>
    <x v="0"/>
    <x v="9"/>
    <s v="Red-stemmed Feather-moss"/>
    <x v="0"/>
    <x v="0"/>
    <x v="0"/>
    <x v="0"/>
    <x v="0"/>
    <x v="0"/>
    <x v="9"/>
    <s v="SD99781736"/>
    <x v="0"/>
    <x v="11"/>
    <x v="14"/>
    <x v="15"/>
    <n v="2"/>
  </r>
  <r>
    <n v="48675299"/>
    <x v="21"/>
    <n v="16"/>
    <x v="1"/>
    <n v="2026"/>
    <s v="dr2141"/>
    <x v="0"/>
    <x v="0"/>
    <x v="25"/>
    <s v="Neat Feather-moss"/>
    <x v="0"/>
    <x v="0"/>
    <x v="0"/>
    <x v="0"/>
    <x v="0"/>
    <x v="7"/>
    <x v="24"/>
    <s v="SE01772384"/>
    <x v="1"/>
    <x v="7"/>
    <x v="39"/>
    <x v="47"/>
    <n v="5"/>
  </r>
  <r>
    <n v="49648315"/>
    <x v="32"/>
    <n v="7"/>
    <x v="0"/>
    <n v="2026"/>
    <s v="dr2141"/>
    <x v="0"/>
    <x v="0"/>
    <x v="15"/>
    <s v="Grey-cushioned Grimmia"/>
    <x v="0"/>
    <x v="0"/>
    <x v="0"/>
    <x v="0"/>
    <x v="6"/>
    <x v="10"/>
    <x v="15"/>
    <s v="SK33848766"/>
    <x v="2"/>
    <x v="10"/>
    <x v="49"/>
    <x v="57"/>
    <n v="4"/>
  </r>
  <r>
    <n v="48903695"/>
    <x v="5"/>
    <n v="26"/>
    <x v="1"/>
    <n v="2026"/>
    <s v="dr2141"/>
    <x v="0"/>
    <x v="0"/>
    <x v="54"/>
    <s v="Clustered Feather-moss"/>
    <x v="0"/>
    <x v="0"/>
    <x v="0"/>
    <x v="0"/>
    <x v="0"/>
    <x v="7"/>
    <x v="43"/>
    <s v="SE089243"/>
    <x v="1"/>
    <x v="7"/>
    <x v="48"/>
    <x v="58"/>
    <n v="6"/>
  </r>
  <r>
    <n v="48748041"/>
    <x v="16"/>
    <n v="23"/>
    <x v="1"/>
    <n v="2026"/>
    <s v="dr736"/>
    <x v="1"/>
    <x v="1"/>
    <x v="19"/>
    <s v="Harlequin Ladybird"/>
    <x v="0"/>
    <x v="1"/>
    <x v="1"/>
    <x v="2"/>
    <x v="2"/>
    <x v="2"/>
    <x v="19"/>
    <s v="SE46052237"/>
    <x v="1"/>
    <x v="13"/>
    <x v="24"/>
    <x v="28"/>
    <n v="9"/>
  </r>
  <r>
    <n v="48746940"/>
    <x v="1"/>
    <n v="22"/>
    <x v="1"/>
    <n v="2026"/>
    <s v="dr671"/>
    <x v="2"/>
    <x v="2"/>
    <x v="55"/>
    <s v="Roe Deer"/>
    <x v="0"/>
    <x v="1"/>
    <x v="2"/>
    <x v="3"/>
    <x v="15"/>
    <x v="28"/>
    <x v="44"/>
    <s v="SE146252"/>
    <x v="1"/>
    <x v="1"/>
    <x v="1"/>
    <x v="1"/>
    <n v="0"/>
  </r>
  <r>
    <n v="50326223"/>
    <x v="33"/>
    <n v="22"/>
    <x v="0"/>
    <n v="2026"/>
    <s v="dr736"/>
    <x v="1"/>
    <x v="1"/>
    <x v="19"/>
    <s v="Harlequin Ladybird"/>
    <x v="0"/>
    <x v="1"/>
    <x v="1"/>
    <x v="2"/>
    <x v="2"/>
    <x v="2"/>
    <x v="19"/>
    <s v="SD987280"/>
    <x v="0"/>
    <x v="0"/>
    <x v="50"/>
    <x v="59"/>
    <n v="2"/>
  </r>
  <r>
    <n v="50356991"/>
    <x v="30"/>
    <n v="24"/>
    <x v="0"/>
    <n v="2026"/>
    <s v="dr3369"/>
    <x v="4"/>
    <x v="4"/>
    <x v="56"/>
    <s v="Pine Cone Bug"/>
    <x v="0"/>
    <x v="1"/>
    <x v="1"/>
    <x v="2"/>
    <x v="9"/>
    <x v="29"/>
    <x v="45"/>
    <s v="SE00260404"/>
    <x v="1"/>
    <x v="19"/>
    <x v="51"/>
    <x v="60"/>
    <n v="5"/>
  </r>
  <r>
    <n v="48681730"/>
    <x v="26"/>
    <n v="17"/>
    <x v="1"/>
    <n v="2026"/>
    <s v="dr2141"/>
    <x v="0"/>
    <x v="0"/>
    <x v="14"/>
    <s v="Common Feather-moss"/>
    <x v="0"/>
    <x v="0"/>
    <x v="0"/>
    <x v="0"/>
    <x v="0"/>
    <x v="7"/>
    <x v="14"/>
    <s v="SE16722932"/>
    <x v="1"/>
    <x v="1"/>
    <x v="34"/>
    <x v="41"/>
    <n v="7"/>
  </r>
  <r>
    <n v="49305141"/>
    <x v="2"/>
    <n v="31"/>
    <x v="1"/>
    <n v="2026"/>
    <s v="dr2141"/>
    <x v="0"/>
    <x v="0"/>
    <x v="17"/>
    <s v="Fringed Bog-moss"/>
    <x v="0"/>
    <x v="0"/>
    <x v="0"/>
    <x v="4"/>
    <x v="7"/>
    <x v="11"/>
    <x v="17"/>
    <s v="SE01951717"/>
    <x v="1"/>
    <x v="8"/>
    <x v="23"/>
    <x v="27"/>
    <n v="9"/>
  </r>
  <r>
    <n v="49410292"/>
    <x v="4"/>
    <n v="3"/>
    <x v="0"/>
    <n v="2026"/>
    <s v="dr2141"/>
    <x v="0"/>
    <x v="0"/>
    <x v="28"/>
    <s v="Common Tamarisk-moss"/>
    <x v="0"/>
    <x v="0"/>
    <x v="0"/>
    <x v="0"/>
    <x v="0"/>
    <x v="17"/>
    <x v="27"/>
    <s v="SE11383492"/>
    <x v="1"/>
    <x v="4"/>
    <x v="4"/>
    <x v="4"/>
    <n v="3"/>
  </r>
  <r>
    <n v="49724510"/>
    <x v="4"/>
    <n v="3"/>
    <x v="0"/>
    <n v="2026"/>
    <s v="dr2141"/>
    <x v="0"/>
    <x v="0"/>
    <x v="57"/>
    <s v="Swan's-neck Thyme-moss"/>
    <x v="0"/>
    <x v="0"/>
    <x v="0"/>
    <x v="0"/>
    <x v="4"/>
    <x v="8"/>
    <x v="46"/>
    <s v="SE11623473"/>
    <x v="1"/>
    <x v="4"/>
    <x v="4"/>
    <x v="4"/>
    <n v="2"/>
  </r>
  <r>
    <n v="49513092"/>
    <x v="0"/>
    <n v="4"/>
    <x v="0"/>
    <n v="2026"/>
    <s v="dr2141"/>
    <x v="0"/>
    <x v="0"/>
    <x v="58"/>
    <s v="Common Liverwort"/>
    <x v="0"/>
    <x v="0"/>
    <x v="3"/>
    <x v="6"/>
    <x v="16"/>
    <x v="30"/>
    <x v="47"/>
    <s v="SK356871"/>
    <x v="2"/>
    <x v="10"/>
    <x v="19"/>
    <x v="26"/>
    <n v="6"/>
  </r>
  <r>
    <n v="49724498"/>
    <x v="10"/>
    <n v="28"/>
    <x v="1"/>
    <n v="2026"/>
    <s v="dr2141"/>
    <x v="0"/>
    <x v="0"/>
    <x v="28"/>
    <s v="Common Tamarisk-moss"/>
    <x v="0"/>
    <x v="0"/>
    <x v="0"/>
    <x v="0"/>
    <x v="0"/>
    <x v="17"/>
    <x v="27"/>
    <s v="SE01492008"/>
    <x v="1"/>
    <x v="7"/>
    <x v="11"/>
    <x v="11"/>
    <n v="5"/>
  </r>
  <r>
    <n v="49889538"/>
    <x v="7"/>
    <n v="11"/>
    <x v="0"/>
    <n v="2026"/>
    <s v="dr2141"/>
    <x v="0"/>
    <x v="0"/>
    <x v="15"/>
    <s v="Grey-cushioned Grimmia"/>
    <x v="0"/>
    <x v="0"/>
    <x v="0"/>
    <x v="0"/>
    <x v="6"/>
    <x v="10"/>
    <x v="15"/>
    <s v="SK362877"/>
    <x v="2"/>
    <x v="10"/>
    <x v="13"/>
    <x v="61"/>
    <n v="8"/>
  </r>
  <r>
    <n v="48912824"/>
    <x v="5"/>
    <n v="26"/>
    <x v="1"/>
    <n v="2026"/>
    <s v="dr2141"/>
    <x v="0"/>
    <x v="0"/>
    <x v="57"/>
    <s v="Swan's-neck Thyme-moss"/>
    <x v="0"/>
    <x v="0"/>
    <x v="0"/>
    <x v="0"/>
    <x v="4"/>
    <x v="8"/>
    <x v="46"/>
    <s v="SE07352132"/>
    <x v="1"/>
    <x v="7"/>
    <x v="31"/>
    <x v="35"/>
    <n v="9"/>
  </r>
  <r>
    <n v="49250013"/>
    <x v="28"/>
    <n v="29"/>
    <x v="1"/>
    <n v="2026"/>
    <s v="dr2141"/>
    <x v="0"/>
    <x v="0"/>
    <x v="40"/>
    <s v="Wall Screw-moss"/>
    <x v="0"/>
    <x v="0"/>
    <x v="0"/>
    <x v="0"/>
    <x v="5"/>
    <x v="22"/>
    <x v="35"/>
    <s v="SK358877"/>
    <x v="2"/>
    <x v="10"/>
    <x v="19"/>
    <x v="26"/>
    <n v="0"/>
  </r>
  <r>
    <n v="48790441"/>
    <x v="34"/>
    <n v="24"/>
    <x v="1"/>
    <n v="2026"/>
    <s v="dr1215"/>
    <x v="3"/>
    <x v="3"/>
    <x v="59"/>
    <s v="Hawthorn Shieldbug"/>
    <x v="0"/>
    <x v="1"/>
    <x v="1"/>
    <x v="2"/>
    <x v="9"/>
    <x v="31"/>
    <x v="48"/>
    <s v="SK321859"/>
    <x v="2"/>
    <x v="10"/>
    <x v="52"/>
    <x v="62"/>
    <n v="1"/>
  </r>
  <r>
    <n v="50032494"/>
    <x v="15"/>
    <n v="15"/>
    <x v="0"/>
    <n v="2026"/>
    <s v="dr2141"/>
    <x v="0"/>
    <x v="0"/>
    <x v="47"/>
    <s v="Anomalous Bristle-moss"/>
    <x v="0"/>
    <x v="0"/>
    <x v="0"/>
    <x v="0"/>
    <x v="14"/>
    <x v="26"/>
    <x v="39"/>
    <s v="SK325819"/>
    <x v="2"/>
    <x v="10"/>
    <x v="20"/>
    <x v="22"/>
    <n v="0"/>
  </r>
  <r>
    <n v="49961957"/>
    <x v="12"/>
    <n v="12"/>
    <x v="0"/>
    <n v="2026"/>
    <s v="dr2141"/>
    <x v="0"/>
    <x v="0"/>
    <x v="43"/>
    <s v="Cypress-leaved Plait-moss"/>
    <x v="0"/>
    <x v="0"/>
    <x v="0"/>
    <x v="0"/>
    <x v="0"/>
    <x v="5"/>
    <x v="6"/>
    <s v="SK347873"/>
    <x v="2"/>
    <x v="10"/>
    <x v="19"/>
    <x v="21"/>
    <n v="1"/>
  </r>
  <r>
    <n v="49961929"/>
    <x v="12"/>
    <n v="12"/>
    <x v="0"/>
    <n v="2026"/>
    <s v="dr2141"/>
    <x v="0"/>
    <x v="0"/>
    <x v="20"/>
    <s v="Silky Wall Feather-moss"/>
    <x v="0"/>
    <x v="0"/>
    <x v="0"/>
    <x v="0"/>
    <x v="0"/>
    <x v="7"/>
    <x v="20"/>
    <s v="SK346873"/>
    <x v="2"/>
    <x v="10"/>
    <x v="19"/>
    <x v="21"/>
    <n v="1"/>
  </r>
  <r>
    <n v="50032452"/>
    <x v="15"/>
    <n v="15"/>
    <x v="0"/>
    <n v="2026"/>
    <s v="dr2141"/>
    <x v="0"/>
    <x v="0"/>
    <x v="10"/>
    <s v="Rough-stalked Feather-moss"/>
    <x v="0"/>
    <x v="0"/>
    <x v="0"/>
    <x v="0"/>
    <x v="0"/>
    <x v="7"/>
    <x v="10"/>
    <s v="SK324818"/>
    <x v="2"/>
    <x v="10"/>
    <x v="20"/>
    <x v="22"/>
    <n v="1"/>
  </r>
  <r>
    <n v="50032419"/>
    <x v="15"/>
    <n v="15"/>
    <x v="0"/>
    <n v="2026"/>
    <s v="dr2141"/>
    <x v="0"/>
    <x v="0"/>
    <x v="15"/>
    <s v="Grey-cushioned Grimmia"/>
    <x v="0"/>
    <x v="0"/>
    <x v="0"/>
    <x v="0"/>
    <x v="6"/>
    <x v="10"/>
    <x v="15"/>
    <s v="SK324817"/>
    <x v="2"/>
    <x v="10"/>
    <x v="20"/>
    <x v="22"/>
    <n v="0"/>
  </r>
  <r>
    <n v="49395328"/>
    <x v="2"/>
    <n v="31"/>
    <x v="1"/>
    <n v="2026"/>
    <s v="dr2141"/>
    <x v="0"/>
    <x v="0"/>
    <x v="28"/>
    <s v="Common Tamarisk-moss"/>
    <x v="0"/>
    <x v="0"/>
    <x v="0"/>
    <x v="0"/>
    <x v="0"/>
    <x v="17"/>
    <x v="27"/>
    <s v="SE035378"/>
    <x v="1"/>
    <x v="16"/>
    <x v="53"/>
    <x v="63"/>
    <n v="2"/>
  </r>
  <r>
    <n v="49671642"/>
    <x v="9"/>
    <n v="9"/>
    <x v="0"/>
    <n v="2026"/>
    <s v="dr2141"/>
    <x v="0"/>
    <x v="0"/>
    <x v="0"/>
    <s v="Springy Turf-moss"/>
    <x v="0"/>
    <x v="0"/>
    <x v="0"/>
    <x v="0"/>
    <x v="0"/>
    <x v="0"/>
    <x v="0"/>
    <s v="SE10792659"/>
    <x v="1"/>
    <x v="1"/>
    <x v="10"/>
    <x v="10"/>
    <n v="3"/>
  </r>
  <r>
    <n v="50031443"/>
    <x v="13"/>
    <n v="14"/>
    <x v="0"/>
    <n v="2026"/>
    <s v="dr736"/>
    <x v="1"/>
    <x v="1"/>
    <x v="7"/>
    <s v="Orange Ladybird"/>
    <x v="0"/>
    <x v="1"/>
    <x v="1"/>
    <x v="2"/>
    <x v="2"/>
    <x v="2"/>
    <x v="7"/>
    <s v="SE05182364"/>
    <x v="1"/>
    <x v="7"/>
    <x v="16"/>
    <x v="18"/>
    <n v="4"/>
  </r>
  <r>
    <n v="49888209"/>
    <x v="7"/>
    <n v="11"/>
    <x v="0"/>
    <n v="2026"/>
    <s v="dr2141"/>
    <x v="0"/>
    <x v="0"/>
    <x v="15"/>
    <s v="Grey-cushioned Grimmia"/>
    <x v="0"/>
    <x v="0"/>
    <x v="0"/>
    <x v="0"/>
    <x v="6"/>
    <x v="10"/>
    <x v="15"/>
    <s v="SK359874"/>
    <x v="2"/>
    <x v="10"/>
    <x v="19"/>
    <x v="26"/>
    <n v="5"/>
  </r>
  <r>
    <n v="50023781"/>
    <x v="23"/>
    <n v="13"/>
    <x v="0"/>
    <n v="2026"/>
    <s v="dr2141"/>
    <x v="0"/>
    <x v="0"/>
    <x v="10"/>
    <s v="Rough-stalked Feather-moss"/>
    <x v="0"/>
    <x v="0"/>
    <x v="0"/>
    <x v="0"/>
    <x v="0"/>
    <x v="7"/>
    <x v="10"/>
    <s v="SK352850"/>
    <x v="2"/>
    <x v="10"/>
    <x v="30"/>
    <x v="36"/>
    <n v="6"/>
  </r>
  <r>
    <n v="49724506"/>
    <x v="11"/>
    <n v="30"/>
    <x v="1"/>
    <n v="2026"/>
    <s v="dr2141"/>
    <x v="0"/>
    <x v="0"/>
    <x v="8"/>
    <s v="Pointed Spear-moss"/>
    <x v="0"/>
    <x v="0"/>
    <x v="0"/>
    <x v="0"/>
    <x v="0"/>
    <x v="6"/>
    <x v="8"/>
    <s v="SE16802274"/>
    <x v="1"/>
    <x v="1"/>
    <x v="37"/>
    <x v="45"/>
    <n v="8"/>
  </r>
  <r>
    <n v="49304149"/>
    <x v="3"/>
    <n v="1"/>
    <x v="0"/>
    <n v="2026"/>
    <s v="dr2141"/>
    <x v="0"/>
    <x v="0"/>
    <x v="43"/>
    <s v="Cypress-leaved Plait-moss"/>
    <x v="0"/>
    <x v="0"/>
    <x v="0"/>
    <x v="0"/>
    <x v="0"/>
    <x v="5"/>
    <x v="6"/>
    <s v="SK28699048"/>
    <x v="2"/>
    <x v="9"/>
    <x v="12"/>
    <x v="14"/>
    <n v="9"/>
  </r>
  <r>
    <n v="49671634"/>
    <x v="9"/>
    <n v="9"/>
    <x v="0"/>
    <n v="2026"/>
    <s v="dr2141"/>
    <x v="0"/>
    <x v="0"/>
    <x v="24"/>
    <s v="Heath Star Moss"/>
    <x v="0"/>
    <x v="0"/>
    <x v="0"/>
    <x v="0"/>
    <x v="5"/>
    <x v="14"/>
    <x v="23"/>
    <s v="SE107265"/>
    <x v="1"/>
    <x v="1"/>
    <x v="10"/>
    <x v="10"/>
    <n v="5"/>
  </r>
  <r>
    <n v="49397349"/>
    <x v="4"/>
    <n v="3"/>
    <x v="0"/>
    <n v="2026"/>
    <s v="dr2141"/>
    <x v="0"/>
    <x v="0"/>
    <x v="25"/>
    <s v="Neat Feather-moss"/>
    <x v="0"/>
    <x v="0"/>
    <x v="0"/>
    <x v="0"/>
    <x v="0"/>
    <x v="7"/>
    <x v="24"/>
    <s v="SE11433472"/>
    <x v="1"/>
    <x v="4"/>
    <x v="4"/>
    <x v="4"/>
    <n v="2"/>
  </r>
  <r>
    <n v="49888207"/>
    <x v="7"/>
    <n v="11"/>
    <x v="0"/>
    <n v="2026"/>
    <s v="dr2141"/>
    <x v="0"/>
    <x v="0"/>
    <x v="36"/>
    <s v="Cylindric Beard-moss"/>
    <x v="0"/>
    <x v="0"/>
    <x v="0"/>
    <x v="0"/>
    <x v="5"/>
    <x v="22"/>
    <x v="33"/>
    <s v="SK362878"/>
    <x v="2"/>
    <x v="10"/>
    <x v="13"/>
    <x v="61"/>
    <n v="1"/>
  </r>
  <r>
    <n v="49885944"/>
    <x v="21"/>
    <n v="16"/>
    <x v="1"/>
    <n v="2026"/>
    <s v="dr2141"/>
    <x v="0"/>
    <x v="0"/>
    <x v="60"/>
    <s v="Many-flowered Leskea"/>
    <x v="0"/>
    <x v="0"/>
    <x v="0"/>
    <x v="0"/>
    <x v="0"/>
    <x v="6"/>
    <x v="49"/>
    <s v="SD92785243"/>
    <x v="0"/>
    <x v="17"/>
    <x v="43"/>
    <x v="51"/>
    <n v="4"/>
  </r>
  <r>
    <n v="48903693"/>
    <x v="5"/>
    <n v="26"/>
    <x v="1"/>
    <n v="2026"/>
    <s v="dr2141"/>
    <x v="0"/>
    <x v="0"/>
    <x v="10"/>
    <s v="Rough-stalked Feather-moss"/>
    <x v="0"/>
    <x v="0"/>
    <x v="0"/>
    <x v="0"/>
    <x v="0"/>
    <x v="7"/>
    <x v="10"/>
    <s v="SE08902428"/>
    <x v="1"/>
    <x v="7"/>
    <x v="48"/>
    <x v="58"/>
    <n v="6"/>
  </r>
  <r>
    <n v="49396426"/>
    <x v="4"/>
    <n v="3"/>
    <x v="0"/>
    <n v="2026"/>
    <s v="dr2141"/>
    <x v="0"/>
    <x v="0"/>
    <x v="61"/>
    <s v="Crescent-cup Liverwort"/>
    <x v="0"/>
    <x v="0"/>
    <x v="3"/>
    <x v="6"/>
    <x v="17"/>
    <x v="32"/>
    <x v="50"/>
    <s v="SE11663482"/>
    <x v="1"/>
    <x v="4"/>
    <x v="4"/>
    <x v="4"/>
    <n v="8"/>
  </r>
  <r>
    <n v="49298920"/>
    <x v="2"/>
    <n v="31"/>
    <x v="1"/>
    <n v="2026"/>
    <s v="dr2141"/>
    <x v="0"/>
    <x v="0"/>
    <x v="13"/>
    <s v="Glittering Wood-moss"/>
    <x v="0"/>
    <x v="0"/>
    <x v="0"/>
    <x v="0"/>
    <x v="0"/>
    <x v="0"/>
    <x v="13"/>
    <s v="SD99841722"/>
    <x v="0"/>
    <x v="11"/>
    <x v="14"/>
    <x v="15"/>
    <n v="7"/>
  </r>
  <r>
    <n v="49303224"/>
    <x v="2"/>
    <n v="31"/>
    <x v="1"/>
    <n v="2026"/>
    <s v="dr2141"/>
    <x v="0"/>
    <x v="0"/>
    <x v="39"/>
    <s v="Flat-topped Bog-moss"/>
    <x v="0"/>
    <x v="0"/>
    <x v="0"/>
    <x v="4"/>
    <x v="7"/>
    <x v="11"/>
    <x v="17"/>
    <s v="SE01911714"/>
    <x v="1"/>
    <x v="8"/>
    <x v="23"/>
    <x v="27"/>
    <n v="9"/>
  </r>
  <r>
    <n v="50032035"/>
    <x v="15"/>
    <n v="15"/>
    <x v="0"/>
    <n v="2026"/>
    <s v="dr2141"/>
    <x v="0"/>
    <x v="0"/>
    <x v="62"/>
    <s v="Forked Veilwort"/>
    <x v="0"/>
    <x v="0"/>
    <x v="3"/>
    <x v="5"/>
    <x v="18"/>
    <x v="33"/>
    <x v="51"/>
    <s v="SK321821"/>
    <x v="2"/>
    <x v="10"/>
    <x v="40"/>
    <x v="48"/>
    <n v="2"/>
  </r>
  <r>
    <n v="49517751"/>
    <x v="0"/>
    <n v="4"/>
    <x v="0"/>
    <n v="2026"/>
    <s v="dr2141"/>
    <x v="0"/>
    <x v="0"/>
    <x v="63"/>
    <s v="Yellow Fringe-moss"/>
    <x v="0"/>
    <x v="0"/>
    <x v="0"/>
    <x v="0"/>
    <x v="6"/>
    <x v="10"/>
    <x v="52"/>
    <s v="SD96522679"/>
    <x v="0"/>
    <x v="0"/>
    <x v="0"/>
    <x v="0"/>
    <n v="4"/>
  </r>
  <r>
    <n v="50010273"/>
    <x v="23"/>
    <n v="13"/>
    <x v="0"/>
    <n v="2026"/>
    <s v="dr2141"/>
    <x v="0"/>
    <x v="0"/>
    <x v="15"/>
    <s v="Grey-cushioned Grimmia"/>
    <x v="0"/>
    <x v="0"/>
    <x v="0"/>
    <x v="0"/>
    <x v="6"/>
    <x v="10"/>
    <x v="15"/>
    <s v="SE143275"/>
    <x v="1"/>
    <x v="1"/>
    <x v="54"/>
    <x v="64"/>
    <n v="5"/>
  </r>
  <r>
    <n v="49303884"/>
    <x v="3"/>
    <n v="1"/>
    <x v="0"/>
    <n v="2026"/>
    <s v="dr2141"/>
    <x v="0"/>
    <x v="0"/>
    <x v="0"/>
    <s v="Springy Turf-moss"/>
    <x v="0"/>
    <x v="0"/>
    <x v="0"/>
    <x v="0"/>
    <x v="0"/>
    <x v="0"/>
    <x v="0"/>
    <s v="SK287902"/>
    <x v="2"/>
    <x v="9"/>
    <x v="12"/>
    <x v="14"/>
    <n v="6"/>
  </r>
  <r>
    <n v="48675298"/>
    <x v="21"/>
    <n v="16"/>
    <x v="1"/>
    <n v="2026"/>
    <s v="dr2141"/>
    <x v="0"/>
    <x v="0"/>
    <x v="13"/>
    <s v="Glittering Wood-moss"/>
    <x v="0"/>
    <x v="0"/>
    <x v="0"/>
    <x v="0"/>
    <x v="0"/>
    <x v="0"/>
    <x v="13"/>
    <s v="SE01852384"/>
    <x v="1"/>
    <x v="7"/>
    <x v="39"/>
    <x v="47"/>
    <n v="2"/>
  </r>
  <r>
    <n v="49962481"/>
    <x v="12"/>
    <n v="12"/>
    <x v="0"/>
    <n v="2026"/>
    <s v="dr2141"/>
    <x v="0"/>
    <x v="0"/>
    <x v="24"/>
    <s v="Heath Star Moss"/>
    <x v="0"/>
    <x v="0"/>
    <x v="0"/>
    <x v="0"/>
    <x v="5"/>
    <x v="14"/>
    <x v="23"/>
    <s v="SE13712071"/>
    <x v="1"/>
    <x v="1"/>
    <x v="15"/>
    <x v="16"/>
    <n v="8"/>
  </r>
  <r>
    <n v="48720809"/>
    <x v="27"/>
    <n v="20"/>
    <x v="1"/>
    <n v="2026"/>
    <s v="dr736"/>
    <x v="1"/>
    <x v="1"/>
    <x v="19"/>
    <s v="Harlequin Ladybird"/>
    <x v="0"/>
    <x v="1"/>
    <x v="1"/>
    <x v="2"/>
    <x v="2"/>
    <x v="2"/>
    <x v="19"/>
    <s v="SE668111"/>
    <x v="1"/>
    <x v="20"/>
    <x v="55"/>
    <x v="65"/>
    <n v="6"/>
  </r>
  <r>
    <n v="48995017"/>
    <x v="16"/>
    <n v="23"/>
    <x v="1"/>
    <n v="2026"/>
    <s v="dr2141"/>
    <x v="0"/>
    <x v="0"/>
    <x v="0"/>
    <s v="Springy Turf-moss"/>
    <x v="0"/>
    <x v="0"/>
    <x v="0"/>
    <x v="0"/>
    <x v="0"/>
    <x v="0"/>
    <x v="0"/>
    <s v="SE118207"/>
    <x v="1"/>
    <x v="1"/>
    <x v="21"/>
    <x v="23"/>
    <n v="1"/>
  </r>
  <r>
    <n v="49962483"/>
    <x v="12"/>
    <n v="12"/>
    <x v="0"/>
    <n v="2026"/>
    <s v="dr2141"/>
    <x v="0"/>
    <x v="0"/>
    <x v="64"/>
    <s v="Whitish Feather-moss"/>
    <x v="0"/>
    <x v="0"/>
    <x v="0"/>
    <x v="0"/>
    <x v="0"/>
    <x v="7"/>
    <x v="10"/>
    <s v="SE1320"/>
    <x v="1"/>
    <x v="1"/>
    <x v="15"/>
    <x v="16"/>
    <n v="0"/>
  </r>
  <r>
    <n v="49888236"/>
    <x v="7"/>
    <n v="11"/>
    <x v="0"/>
    <n v="2026"/>
    <s v="dr2141"/>
    <x v="0"/>
    <x v="0"/>
    <x v="47"/>
    <s v="Anomalous Bristle-moss"/>
    <x v="0"/>
    <x v="0"/>
    <x v="0"/>
    <x v="0"/>
    <x v="14"/>
    <x v="26"/>
    <x v="39"/>
    <s v="SK359874"/>
    <x v="2"/>
    <x v="10"/>
    <x v="19"/>
    <x v="26"/>
    <n v="0"/>
  </r>
  <r>
    <n v="49512975"/>
    <x v="0"/>
    <n v="4"/>
    <x v="0"/>
    <n v="2026"/>
    <s v="dr2141"/>
    <x v="0"/>
    <x v="0"/>
    <x v="15"/>
    <s v="Grey-cushioned Grimmia"/>
    <x v="0"/>
    <x v="0"/>
    <x v="0"/>
    <x v="0"/>
    <x v="6"/>
    <x v="10"/>
    <x v="15"/>
    <s v="SK355880"/>
    <x v="2"/>
    <x v="10"/>
    <x v="42"/>
    <x v="50"/>
    <n v="0"/>
  </r>
  <r>
    <n v="49304164"/>
    <x v="3"/>
    <n v="1"/>
    <x v="0"/>
    <n v="2026"/>
    <s v="dr2141"/>
    <x v="0"/>
    <x v="0"/>
    <x v="65"/>
    <s v="Great Hairy Screw-moss"/>
    <x v="0"/>
    <x v="0"/>
    <x v="0"/>
    <x v="0"/>
    <x v="5"/>
    <x v="22"/>
    <x v="53"/>
    <s v="SK295898"/>
    <x v="2"/>
    <x v="3"/>
    <x v="3"/>
    <x v="3"/>
    <n v="3"/>
  </r>
  <r>
    <n v="49724522"/>
    <x v="0"/>
    <n v="4"/>
    <x v="0"/>
    <n v="2026"/>
    <s v="dr2141"/>
    <x v="0"/>
    <x v="0"/>
    <x v="31"/>
    <s v="White Earwort"/>
    <x v="0"/>
    <x v="0"/>
    <x v="3"/>
    <x v="5"/>
    <x v="10"/>
    <x v="19"/>
    <x v="30"/>
    <s v="SD965265"/>
    <x v="0"/>
    <x v="0"/>
    <x v="0"/>
    <x v="0"/>
    <n v="5"/>
  </r>
  <r>
    <n v="48722316"/>
    <x v="27"/>
    <n v="20"/>
    <x v="1"/>
    <n v="2026"/>
    <s v="dr2141"/>
    <x v="0"/>
    <x v="0"/>
    <x v="26"/>
    <s v="Waved Silk-moss"/>
    <x v="0"/>
    <x v="0"/>
    <x v="0"/>
    <x v="0"/>
    <x v="0"/>
    <x v="15"/>
    <x v="25"/>
    <s v="SE09343388"/>
    <x v="1"/>
    <x v="16"/>
    <x v="38"/>
    <x v="46"/>
    <n v="6"/>
  </r>
  <r>
    <n v="49030071"/>
    <x v="27"/>
    <n v="20"/>
    <x v="1"/>
    <n v="2026"/>
    <s v="dr2141"/>
    <x v="0"/>
    <x v="0"/>
    <x v="9"/>
    <s v="Red-stemmed Feather-moss"/>
    <x v="0"/>
    <x v="0"/>
    <x v="0"/>
    <x v="0"/>
    <x v="0"/>
    <x v="0"/>
    <x v="9"/>
    <s v="SE094338"/>
    <x v="1"/>
    <x v="16"/>
    <x v="38"/>
    <x v="46"/>
    <n v="7"/>
  </r>
  <r>
    <n v="49724497"/>
    <x v="10"/>
    <n v="28"/>
    <x v="1"/>
    <n v="2026"/>
    <s v="dr2141"/>
    <x v="0"/>
    <x v="0"/>
    <x v="9"/>
    <s v="Red-stemmed Feather-moss"/>
    <x v="0"/>
    <x v="0"/>
    <x v="0"/>
    <x v="0"/>
    <x v="0"/>
    <x v="0"/>
    <x v="9"/>
    <s v="SE01042048"/>
    <x v="1"/>
    <x v="7"/>
    <x v="11"/>
    <x v="11"/>
    <n v="8"/>
  </r>
  <r>
    <n v="49030072"/>
    <x v="27"/>
    <n v="20"/>
    <x v="1"/>
    <n v="2026"/>
    <s v="dr2141"/>
    <x v="0"/>
    <x v="0"/>
    <x v="25"/>
    <s v="Neat Feather-moss"/>
    <x v="0"/>
    <x v="0"/>
    <x v="0"/>
    <x v="0"/>
    <x v="0"/>
    <x v="7"/>
    <x v="24"/>
    <s v="SE09403390"/>
    <x v="1"/>
    <x v="16"/>
    <x v="38"/>
    <x v="46"/>
    <n v="9"/>
  </r>
  <r>
    <n v="49249904"/>
    <x v="28"/>
    <n v="29"/>
    <x v="1"/>
    <n v="2026"/>
    <s v="dr2141"/>
    <x v="0"/>
    <x v="0"/>
    <x v="33"/>
    <s v="Capillary Thread-moss"/>
    <x v="0"/>
    <x v="0"/>
    <x v="0"/>
    <x v="0"/>
    <x v="4"/>
    <x v="12"/>
    <x v="21"/>
    <s v="SK357877"/>
    <x v="2"/>
    <x v="10"/>
    <x v="19"/>
    <x v="26"/>
    <n v="2"/>
  </r>
  <r>
    <n v="50032491"/>
    <x v="15"/>
    <n v="15"/>
    <x v="0"/>
    <n v="2026"/>
    <s v="dr2141"/>
    <x v="0"/>
    <x v="0"/>
    <x v="66"/>
    <s v="Common Cord-moss"/>
    <x v="0"/>
    <x v="0"/>
    <x v="0"/>
    <x v="0"/>
    <x v="19"/>
    <x v="34"/>
    <x v="54"/>
    <s v="SK325819"/>
    <x v="2"/>
    <x v="10"/>
    <x v="20"/>
    <x v="22"/>
    <n v="5"/>
  </r>
  <r>
    <n v="49303282"/>
    <x v="2"/>
    <n v="31"/>
    <x v="1"/>
    <n v="2026"/>
    <s v="dr2141"/>
    <x v="0"/>
    <x v="0"/>
    <x v="17"/>
    <s v="Fringed Bog-moss"/>
    <x v="0"/>
    <x v="0"/>
    <x v="0"/>
    <x v="4"/>
    <x v="7"/>
    <x v="11"/>
    <x v="17"/>
    <s v="SD99931772"/>
    <x v="0"/>
    <x v="11"/>
    <x v="14"/>
    <x v="15"/>
    <n v="5"/>
  </r>
  <r>
    <n v="49304147"/>
    <x v="3"/>
    <n v="1"/>
    <x v="0"/>
    <n v="2026"/>
    <s v="dr2141"/>
    <x v="0"/>
    <x v="0"/>
    <x v="34"/>
    <s v="Even Scalewort"/>
    <x v="0"/>
    <x v="0"/>
    <x v="3"/>
    <x v="5"/>
    <x v="11"/>
    <x v="21"/>
    <x v="32"/>
    <s v="SK28699048"/>
    <x v="2"/>
    <x v="9"/>
    <x v="12"/>
    <x v="14"/>
    <n v="0"/>
  </r>
  <r>
    <n v="49303281"/>
    <x v="2"/>
    <n v="31"/>
    <x v="1"/>
    <n v="2026"/>
    <s v="dr2141"/>
    <x v="0"/>
    <x v="0"/>
    <x v="26"/>
    <s v="Waved Silk-moss"/>
    <x v="0"/>
    <x v="0"/>
    <x v="0"/>
    <x v="0"/>
    <x v="0"/>
    <x v="15"/>
    <x v="25"/>
    <s v="SE00031785"/>
    <x v="1"/>
    <x v="8"/>
    <x v="23"/>
    <x v="44"/>
    <n v="0"/>
  </r>
  <r>
    <n v="49889537"/>
    <x v="7"/>
    <n v="11"/>
    <x v="0"/>
    <n v="2026"/>
    <s v="dr2141"/>
    <x v="0"/>
    <x v="0"/>
    <x v="10"/>
    <s v="Rough-stalked Feather-moss"/>
    <x v="0"/>
    <x v="0"/>
    <x v="0"/>
    <x v="0"/>
    <x v="0"/>
    <x v="7"/>
    <x v="10"/>
    <s v="SK363879"/>
    <x v="2"/>
    <x v="10"/>
    <x v="13"/>
    <x v="61"/>
    <n v="5"/>
  </r>
  <r>
    <n v="49962484"/>
    <x v="12"/>
    <n v="12"/>
    <x v="0"/>
    <n v="2026"/>
    <s v="dr2141"/>
    <x v="0"/>
    <x v="0"/>
    <x v="0"/>
    <s v="Springy Turf-moss"/>
    <x v="0"/>
    <x v="0"/>
    <x v="0"/>
    <x v="0"/>
    <x v="0"/>
    <x v="0"/>
    <x v="0"/>
    <s v="SE13712071"/>
    <x v="1"/>
    <x v="1"/>
    <x v="15"/>
    <x v="16"/>
    <n v="4"/>
  </r>
  <r>
    <n v="48665830"/>
    <x v="8"/>
    <n v="15"/>
    <x v="1"/>
    <n v="2026"/>
    <s v="dr2141"/>
    <x v="0"/>
    <x v="0"/>
    <x v="6"/>
    <s v="Heath Plait-moss"/>
    <x v="0"/>
    <x v="0"/>
    <x v="0"/>
    <x v="0"/>
    <x v="0"/>
    <x v="5"/>
    <x v="6"/>
    <s v="SE07131708"/>
    <x v="1"/>
    <x v="8"/>
    <x v="8"/>
    <x v="8"/>
    <n v="6"/>
  </r>
  <r>
    <n v="49298830"/>
    <x v="2"/>
    <n v="31"/>
    <x v="1"/>
    <n v="2026"/>
    <s v="dr2141"/>
    <x v="0"/>
    <x v="0"/>
    <x v="46"/>
    <s v="Bristly Haircap"/>
    <x v="0"/>
    <x v="0"/>
    <x v="0"/>
    <x v="1"/>
    <x v="1"/>
    <x v="1"/>
    <x v="36"/>
    <s v="SE01241842"/>
    <x v="1"/>
    <x v="8"/>
    <x v="18"/>
    <x v="20"/>
    <n v="2"/>
  </r>
  <r>
    <n v="49514956"/>
    <x v="0"/>
    <n v="4"/>
    <x v="0"/>
    <n v="2026"/>
    <s v="dr2141"/>
    <x v="0"/>
    <x v="0"/>
    <x v="67"/>
    <s v="Chalk Comb-moss"/>
    <x v="0"/>
    <x v="0"/>
    <x v="0"/>
    <x v="0"/>
    <x v="0"/>
    <x v="35"/>
    <x v="55"/>
    <s v="SD96972628"/>
    <x v="0"/>
    <x v="0"/>
    <x v="0"/>
    <x v="0"/>
    <n v="7"/>
  </r>
  <r>
    <n v="49724524"/>
    <x v="0"/>
    <n v="4"/>
    <x v="0"/>
    <n v="2026"/>
    <s v="dr2141"/>
    <x v="0"/>
    <x v="0"/>
    <x v="10"/>
    <s v="Rough-stalked Feather-moss"/>
    <x v="0"/>
    <x v="0"/>
    <x v="0"/>
    <x v="0"/>
    <x v="0"/>
    <x v="7"/>
    <x v="10"/>
    <s v="SD964268"/>
    <x v="0"/>
    <x v="0"/>
    <x v="0"/>
    <x v="0"/>
    <n v="6"/>
  </r>
  <r>
    <n v="49303860"/>
    <x v="3"/>
    <n v="1"/>
    <x v="0"/>
    <n v="2026"/>
    <s v="dr2141"/>
    <x v="0"/>
    <x v="0"/>
    <x v="68"/>
    <s v="Lateral Cryphaea"/>
    <x v="0"/>
    <x v="0"/>
    <x v="0"/>
    <x v="0"/>
    <x v="0"/>
    <x v="36"/>
    <x v="56"/>
    <s v="SK292900"/>
    <x v="2"/>
    <x v="9"/>
    <x v="12"/>
    <x v="12"/>
    <n v="2"/>
  </r>
  <r>
    <n v="48665829"/>
    <x v="8"/>
    <n v="15"/>
    <x v="1"/>
    <n v="2026"/>
    <s v="dr2141"/>
    <x v="0"/>
    <x v="0"/>
    <x v="52"/>
    <s v="Juniper Haircap"/>
    <x v="0"/>
    <x v="0"/>
    <x v="0"/>
    <x v="1"/>
    <x v="1"/>
    <x v="1"/>
    <x v="36"/>
    <s v="SE07101711"/>
    <x v="1"/>
    <x v="8"/>
    <x v="8"/>
    <x v="8"/>
    <n v="1"/>
  </r>
  <r>
    <n v="49888482"/>
    <x v="7"/>
    <n v="11"/>
    <x v="0"/>
    <n v="2026"/>
    <s v="dr2141"/>
    <x v="0"/>
    <x v="0"/>
    <x v="14"/>
    <s v="Common Feather-moss"/>
    <x v="0"/>
    <x v="0"/>
    <x v="0"/>
    <x v="0"/>
    <x v="0"/>
    <x v="7"/>
    <x v="14"/>
    <s v="SE08532594"/>
    <x v="1"/>
    <x v="7"/>
    <x v="48"/>
    <x v="56"/>
    <n v="0"/>
  </r>
  <r>
    <n v="49395896"/>
    <x v="6"/>
    <n v="2"/>
    <x v="0"/>
    <n v="2026"/>
    <s v="dr2141"/>
    <x v="0"/>
    <x v="0"/>
    <x v="45"/>
    <s v="Bog Groove-moss"/>
    <x v="0"/>
    <x v="0"/>
    <x v="0"/>
    <x v="0"/>
    <x v="13"/>
    <x v="25"/>
    <x v="38"/>
    <s v="SE20302931"/>
    <x v="1"/>
    <x v="6"/>
    <x v="6"/>
    <x v="6"/>
    <n v="0"/>
  </r>
  <r>
    <n v="49303288"/>
    <x v="2"/>
    <n v="31"/>
    <x v="1"/>
    <n v="2026"/>
    <s v="dr2141"/>
    <x v="0"/>
    <x v="0"/>
    <x v="38"/>
    <s v="Blunt-leaved Bog-moss"/>
    <x v="0"/>
    <x v="0"/>
    <x v="0"/>
    <x v="4"/>
    <x v="7"/>
    <x v="11"/>
    <x v="17"/>
    <s v="SD99961722"/>
    <x v="0"/>
    <x v="11"/>
    <x v="14"/>
    <x v="15"/>
    <n v="5"/>
  </r>
  <r>
    <n v="49512992"/>
    <x v="0"/>
    <n v="4"/>
    <x v="0"/>
    <n v="2026"/>
    <s v="dr2141"/>
    <x v="0"/>
    <x v="0"/>
    <x v="58"/>
    <s v="Common Liverwort"/>
    <x v="0"/>
    <x v="0"/>
    <x v="3"/>
    <x v="6"/>
    <x v="16"/>
    <x v="30"/>
    <x v="47"/>
    <s v="SK356878"/>
    <x v="2"/>
    <x v="10"/>
    <x v="19"/>
    <x v="26"/>
    <n v="0"/>
  </r>
  <r>
    <n v="49249976"/>
    <x v="28"/>
    <n v="29"/>
    <x v="1"/>
    <n v="2026"/>
    <s v="dr2141"/>
    <x v="0"/>
    <x v="0"/>
    <x v="21"/>
    <s v="Silver-moss"/>
    <x v="0"/>
    <x v="0"/>
    <x v="0"/>
    <x v="0"/>
    <x v="4"/>
    <x v="12"/>
    <x v="21"/>
    <s v="SK357877"/>
    <x v="2"/>
    <x v="10"/>
    <x v="19"/>
    <x v="26"/>
    <n v="9"/>
  </r>
  <r>
    <n v="49397348"/>
    <x v="4"/>
    <n v="3"/>
    <x v="0"/>
    <n v="2026"/>
    <s v="dr2141"/>
    <x v="0"/>
    <x v="0"/>
    <x v="1"/>
    <s v="Common Smoothcap"/>
    <x v="0"/>
    <x v="0"/>
    <x v="0"/>
    <x v="1"/>
    <x v="1"/>
    <x v="1"/>
    <x v="1"/>
    <s v="SE11463477"/>
    <x v="1"/>
    <x v="4"/>
    <x v="4"/>
    <x v="4"/>
    <n v="6"/>
  </r>
  <r>
    <n v="49303865"/>
    <x v="3"/>
    <n v="1"/>
    <x v="0"/>
    <n v="2026"/>
    <s v="dr2141"/>
    <x v="0"/>
    <x v="0"/>
    <x v="15"/>
    <s v="Grey-cushioned Grimmia"/>
    <x v="0"/>
    <x v="0"/>
    <x v="0"/>
    <x v="0"/>
    <x v="6"/>
    <x v="10"/>
    <x v="15"/>
    <s v="SK293904"/>
    <x v="2"/>
    <x v="9"/>
    <x v="12"/>
    <x v="12"/>
    <n v="5"/>
  </r>
  <r>
    <n v="48615939"/>
    <x v="35"/>
    <n v="8"/>
    <x v="1"/>
    <n v="2026"/>
    <s v="dr2141"/>
    <x v="0"/>
    <x v="0"/>
    <x v="35"/>
    <s v="Lustrous Bog-moss"/>
    <x v="0"/>
    <x v="0"/>
    <x v="0"/>
    <x v="4"/>
    <x v="7"/>
    <x v="11"/>
    <x v="17"/>
    <s v="SD9619"/>
    <x v="0"/>
    <x v="11"/>
    <x v="56"/>
    <x v="66"/>
    <n v="1"/>
  </r>
  <r>
    <n v="49297867"/>
    <x v="2"/>
    <n v="31"/>
    <x v="1"/>
    <n v="2026"/>
    <s v="dr736"/>
    <x v="1"/>
    <x v="1"/>
    <x v="18"/>
    <s v="7-spot Ladybird"/>
    <x v="0"/>
    <x v="1"/>
    <x v="1"/>
    <x v="2"/>
    <x v="2"/>
    <x v="2"/>
    <x v="18"/>
    <s v="SE562045"/>
    <x v="1"/>
    <x v="12"/>
    <x v="22"/>
    <x v="24"/>
    <n v="0"/>
  </r>
  <r>
    <n v="48712952"/>
    <x v="21"/>
    <n v="16"/>
    <x v="1"/>
    <n v="2026"/>
    <s v="dr2141"/>
    <x v="0"/>
    <x v="0"/>
    <x v="69"/>
    <s v="Palmate Germanderwort"/>
    <x v="0"/>
    <x v="0"/>
    <x v="3"/>
    <x v="5"/>
    <x v="18"/>
    <x v="37"/>
    <x v="57"/>
    <s v="SD92795240"/>
    <x v="0"/>
    <x v="17"/>
    <x v="43"/>
    <x v="51"/>
    <n v="8"/>
  </r>
  <r>
    <n v="48736072"/>
    <x v="36"/>
    <n v="21"/>
    <x v="1"/>
    <n v="2026"/>
    <s v="dr2141"/>
    <x v="0"/>
    <x v="0"/>
    <x v="57"/>
    <s v="Swan's-neck Thyme-moss"/>
    <x v="0"/>
    <x v="0"/>
    <x v="0"/>
    <x v="0"/>
    <x v="4"/>
    <x v="8"/>
    <x v="46"/>
    <s v="SE081236"/>
    <x v="1"/>
    <x v="7"/>
    <x v="57"/>
    <x v="67"/>
    <n v="9"/>
  </r>
  <r>
    <n v="49030077"/>
    <x v="1"/>
    <n v="22"/>
    <x v="1"/>
    <n v="2026"/>
    <s v="dr2141"/>
    <x v="0"/>
    <x v="0"/>
    <x v="14"/>
    <s v="Common Feather-moss"/>
    <x v="0"/>
    <x v="0"/>
    <x v="0"/>
    <x v="0"/>
    <x v="0"/>
    <x v="7"/>
    <x v="14"/>
    <s v="SE14592541"/>
    <x v="1"/>
    <x v="1"/>
    <x v="1"/>
    <x v="1"/>
    <n v="0"/>
  </r>
  <r>
    <n v="49304160"/>
    <x v="3"/>
    <n v="1"/>
    <x v="0"/>
    <n v="2026"/>
    <s v="dr2141"/>
    <x v="0"/>
    <x v="0"/>
    <x v="36"/>
    <s v="Cylindric Beard-moss"/>
    <x v="0"/>
    <x v="0"/>
    <x v="0"/>
    <x v="0"/>
    <x v="5"/>
    <x v="22"/>
    <x v="33"/>
    <s v="SK295898"/>
    <x v="2"/>
    <x v="3"/>
    <x v="3"/>
    <x v="3"/>
    <n v="5"/>
  </r>
  <r>
    <n v="49298511"/>
    <x v="2"/>
    <n v="31"/>
    <x v="1"/>
    <n v="2026"/>
    <s v="dr2141"/>
    <x v="0"/>
    <x v="0"/>
    <x v="0"/>
    <s v="Springy Turf-moss"/>
    <x v="0"/>
    <x v="0"/>
    <x v="0"/>
    <x v="0"/>
    <x v="0"/>
    <x v="0"/>
    <x v="0"/>
    <s v="SE00731817"/>
    <x v="1"/>
    <x v="8"/>
    <x v="18"/>
    <x v="25"/>
    <n v="2"/>
  </r>
  <r>
    <n v="49245962"/>
    <x v="11"/>
    <n v="30"/>
    <x v="1"/>
    <n v="2026"/>
    <s v="dr2141"/>
    <x v="0"/>
    <x v="0"/>
    <x v="47"/>
    <s v="Anomalous Bristle-moss"/>
    <x v="0"/>
    <x v="0"/>
    <x v="0"/>
    <x v="0"/>
    <x v="14"/>
    <x v="26"/>
    <x v="39"/>
    <s v="SK366864"/>
    <x v="2"/>
    <x v="10"/>
    <x v="13"/>
    <x v="68"/>
    <n v="5"/>
  </r>
  <r>
    <n v="49395892"/>
    <x v="3"/>
    <n v="1"/>
    <x v="0"/>
    <n v="2026"/>
    <s v="dr2141"/>
    <x v="0"/>
    <x v="0"/>
    <x v="54"/>
    <s v="Clustered Feather-moss"/>
    <x v="0"/>
    <x v="0"/>
    <x v="0"/>
    <x v="0"/>
    <x v="0"/>
    <x v="7"/>
    <x v="43"/>
    <s v="SE24872265"/>
    <x v="1"/>
    <x v="6"/>
    <x v="9"/>
    <x v="9"/>
    <n v="4"/>
  </r>
  <r>
    <n v="48615951"/>
    <x v="35"/>
    <n v="8"/>
    <x v="1"/>
    <n v="2026"/>
    <s v="dr2141"/>
    <x v="0"/>
    <x v="0"/>
    <x v="13"/>
    <s v="Glittering Wood-moss"/>
    <x v="0"/>
    <x v="0"/>
    <x v="0"/>
    <x v="0"/>
    <x v="0"/>
    <x v="0"/>
    <x v="13"/>
    <s v="SD9719"/>
    <x v="0"/>
    <x v="11"/>
    <x v="56"/>
    <x v="69"/>
    <n v="6"/>
  </r>
  <r>
    <n v="49961922"/>
    <x v="12"/>
    <n v="12"/>
    <x v="0"/>
    <n v="2026"/>
    <s v="dr2141"/>
    <x v="0"/>
    <x v="0"/>
    <x v="47"/>
    <s v="Anomalous Bristle-moss"/>
    <x v="0"/>
    <x v="0"/>
    <x v="0"/>
    <x v="0"/>
    <x v="14"/>
    <x v="26"/>
    <x v="39"/>
    <s v="SK347873"/>
    <x v="2"/>
    <x v="10"/>
    <x v="19"/>
    <x v="21"/>
    <n v="9"/>
  </r>
  <r>
    <n v="49303226"/>
    <x v="2"/>
    <n v="31"/>
    <x v="1"/>
    <n v="2026"/>
    <s v="dr2141"/>
    <x v="0"/>
    <x v="0"/>
    <x v="70"/>
    <s v="Papillose Bog-moss"/>
    <x v="0"/>
    <x v="0"/>
    <x v="0"/>
    <x v="4"/>
    <x v="7"/>
    <x v="11"/>
    <x v="17"/>
    <s v="SE01971717"/>
    <x v="1"/>
    <x v="8"/>
    <x v="23"/>
    <x v="27"/>
    <n v="0"/>
  </r>
  <r>
    <n v="49395887"/>
    <x v="3"/>
    <n v="1"/>
    <x v="0"/>
    <n v="2026"/>
    <s v="dr2141"/>
    <x v="0"/>
    <x v="0"/>
    <x v="14"/>
    <s v="Common Feather-moss"/>
    <x v="0"/>
    <x v="0"/>
    <x v="0"/>
    <x v="0"/>
    <x v="0"/>
    <x v="7"/>
    <x v="14"/>
    <s v="SK38G"/>
    <x v="2"/>
    <x v="10"/>
    <x v="40"/>
    <x v="70"/>
    <n v="2"/>
  </r>
  <r>
    <n v="49962498"/>
    <x v="12"/>
    <n v="12"/>
    <x v="0"/>
    <n v="2026"/>
    <s v="dr696"/>
    <x v="1"/>
    <x v="1"/>
    <x v="29"/>
    <s v="Western Conifer Seed Bug"/>
    <x v="0"/>
    <x v="1"/>
    <x v="1"/>
    <x v="2"/>
    <x v="9"/>
    <x v="18"/>
    <x v="28"/>
    <s v="SE442169"/>
    <x v="1"/>
    <x v="18"/>
    <x v="47"/>
    <x v="55"/>
    <n v="5"/>
  </r>
  <r>
    <n v="49512905"/>
    <x v="0"/>
    <n v="4"/>
    <x v="0"/>
    <n v="2026"/>
    <s v="dr2141"/>
    <x v="0"/>
    <x v="0"/>
    <x v="1"/>
    <s v="Common Smoothcap"/>
    <x v="0"/>
    <x v="0"/>
    <x v="0"/>
    <x v="1"/>
    <x v="1"/>
    <x v="1"/>
    <x v="1"/>
    <s v="SD96592655"/>
    <x v="0"/>
    <x v="0"/>
    <x v="0"/>
    <x v="0"/>
    <n v="7"/>
  </r>
  <r>
    <n v="49518272"/>
    <x v="10"/>
    <n v="28"/>
    <x v="1"/>
    <n v="2026"/>
    <s v="dr2141"/>
    <x v="0"/>
    <x v="0"/>
    <x v="26"/>
    <s v="Waved Silk-moss"/>
    <x v="0"/>
    <x v="0"/>
    <x v="0"/>
    <x v="0"/>
    <x v="0"/>
    <x v="15"/>
    <x v="25"/>
    <s v="SE01091995"/>
    <x v="1"/>
    <x v="8"/>
    <x v="18"/>
    <x v="71"/>
    <n v="9"/>
  </r>
  <r>
    <n v="49512178"/>
    <x v="0"/>
    <n v="4"/>
    <x v="0"/>
    <n v="2026"/>
    <s v="dr2141"/>
    <x v="0"/>
    <x v="0"/>
    <x v="28"/>
    <s v="Common Tamarisk-moss"/>
    <x v="0"/>
    <x v="0"/>
    <x v="0"/>
    <x v="0"/>
    <x v="0"/>
    <x v="17"/>
    <x v="27"/>
    <s v="SD96622648"/>
    <x v="0"/>
    <x v="0"/>
    <x v="0"/>
    <x v="0"/>
    <n v="3"/>
  </r>
  <r>
    <n v="49323238"/>
    <x v="3"/>
    <n v="1"/>
    <x v="0"/>
    <n v="2026"/>
    <s v="dr2141"/>
    <x v="0"/>
    <x v="0"/>
    <x v="25"/>
    <s v="Neat Feather-moss"/>
    <x v="0"/>
    <x v="0"/>
    <x v="0"/>
    <x v="0"/>
    <x v="0"/>
    <x v="7"/>
    <x v="24"/>
    <s v="SE25252319"/>
    <x v="1"/>
    <x v="6"/>
    <x v="9"/>
    <x v="39"/>
    <n v="2"/>
  </r>
  <r>
    <n v="48653540"/>
    <x v="18"/>
    <n v="14"/>
    <x v="1"/>
    <n v="2026"/>
    <s v="dr2141"/>
    <x v="0"/>
    <x v="0"/>
    <x v="71"/>
    <s v="Strict Haircap"/>
    <x v="0"/>
    <x v="0"/>
    <x v="0"/>
    <x v="1"/>
    <x v="1"/>
    <x v="1"/>
    <x v="36"/>
    <s v="SD91852853"/>
    <x v="0"/>
    <x v="0"/>
    <x v="25"/>
    <x v="29"/>
    <n v="6"/>
  </r>
  <r>
    <n v="48915866"/>
    <x v="5"/>
    <n v="26"/>
    <x v="1"/>
    <n v="2026"/>
    <s v="dr2141"/>
    <x v="0"/>
    <x v="0"/>
    <x v="14"/>
    <s v="Common Feather-moss"/>
    <x v="0"/>
    <x v="0"/>
    <x v="0"/>
    <x v="0"/>
    <x v="0"/>
    <x v="7"/>
    <x v="14"/>
    <s v="SE07352131"/>
    <x v="1"/>
    <x v="7"/>
    <x v="31"/>
    <x v="35"/>
    <n v="5"/>
  </r>
  <r>
    <n v="50032453"/>
    <x v="15"/>
    <n v="15"/>
    <x v="0"/>
    <n v="2026"/>
    <s v="dr2141"/>
    <x v="0"/>
    <x v="0"/>
    <x v="15"/>
    <s v="Grey-cushioned Grimmia"/>
    <x v="0"/>
    <x v="0"/>
    <x v="0"/>
    <x v="0"/>
    <x v="6"/>
    <x v="10"/>
    <x v="15"/>
    <s v="SK324818"/>
    <x v="2"/>
    <x v="10"/>
    <x v="20"/>
    <x v="22"/>
    <n v="8"/>
  </r>
  <r>
    <n v="48902685"/>
    <x v="37"/>
    <n v="25"/>
    <x v="1"/>
    <n v="2026"/>
    <s v="dr736"/>
    <x v="1"/>
    <x v="1"/>
    <x v="72"/>
    <s v="10-spot Ladybird"/>
    <x v="0"/>
    <x v="1"/>
    <x v="1"/>
    <x v="2"/>
    <x v="2"/>
    <x v="2"/>
    <x v="2"/>
    <s v="SD97880344"/>
    <x v="0"/>
    <x v="21"/>
    <x v="58"/>
    <x v="72"/>
    <n v="9"/>
  </r>
  <r>
    <n v="49620067"/>
    <x v="19"/>
    <n v="6"/>
    <x v="0"/>
    <n v="2026"/>
    <s v="dr2141"/>
    <x v="0"/>
    <x v="0"/>
    <x v="6"/>
    <s v="Heath Plait-moss"/>
    <x v="0"/>
    <x v="0"/>
    <x v="0"/>
    <x v="0"/>
    <x v="0"/>
    <x v="5"/>
    <x v="6"/>
    <s v="SE08332018"/>
    <x v="1"/>
    <x v="7"/>
    <x v="26"/>
    <x v="30"/>
    <n v="0"/>
  </r>
  <r>
    <n v="50031382"/>
    <x v="13"/>
    <n v="14"/>
    <x v="0"/>
    <n v="2026"/>
    <s v="dr1215"/>
    <x v="3"/>
    <x v="3"/>
    <x v="59"/>
    <s v="Hawthorn Shieldbug"/>
    <x v="0"/>
    <x v="1"/>
    <x v="1"/>
    <x v="2"/>
    <x v="9"/>
    <x v="31"/>
    <x v="48"/>
    <s v="SE05052366"/>
    <x v="1"/>
    <x v="7"/>
    <x v="16"/>
    <x v="18"/>
    <n v="1"/>
  </r>
  <r>
    <n v="49724513"/>
    <x v="4"/>
    <n v="3"/>
    <x v="0"/>
    <n v="2026"/>
    <s v="dr2141"/>
    <x v="0"/>
    <x v="0"/>
    <x v="63"/>
    <s v="Yellow Fringe-moss"/>
    <x v="0"/>
    <x v="0"/>
    <x v="0"/>
    <x v="0"/>
    <x v="6"/>
    <x v="10"/>
    <x v="52"/>
    <s v="SE11463478"/>
    <x v="1"/>
    <x v="4"/>
    <x v="4"/>
    <x v="4"/>
    <n v="0"/>
  </r>
  <r>
    <n v="49889531"/>
    <x v="7"/>
    <n v="11"/>
    <x v="0"/>
    <n v="2026"/>
    <s v="dr2141"/>
    <x v="0"/>
    <x v="0"/>
    <x v="58"/>
    <s v="Common Liverwort"/>
    <x v="0"/>
    <x v="0"/>
    <x v="3"/>
    <x v="6"/>
    <x v="16"/>
    <x v="30"/>
    <x v="47"/>
    <s v="SK361876"/>
    <x v="2"/>
    <x v="10"/>
    <x v="13"/>
    <x v="61"/>
    <n v="1"/>
  </r>
  <r>
    <n v="48912686"/>
    <x v="5"/>
    <n v="26"/>
    <x v="1"/>
    <n v="2026"/>
    <s v="dr2141"/>
    <x v="0"/>
    <x v="0"/>
    <x v="61"/>
    <s v="Crescent-cup Liverwort"/>
    <x v="0"/>
    <x v="0"/>
    <x v="3"/>
    <x v="6"/>
    <x v="17"/>
    <x v="32"/>
    <x v="50"/>
    <s v="SE07352131"/>
    <x v="1"/>
    <x v="7"/>
    <x v="31"/>
    <x v="35"/>
    <n v="1"/>
  </r>
  <r>
    <n v="50032108"/>
    <x v="15"/>
    <n v="15"/>
    <x v="0"/>
    <n v="2026"/>
    <s v="dr2141"/>
    <x v="0"/>
    <x v="0"/>
    <x v="1"/>
    <s v="Common Smoothcap"/>
    <x v="0"/>
    <x v="0"/>
    <x v="0"/>
    <x v="1"/>
    <x v="1"/>
    <x v="1"/>
    <x v="1"/>
    <s v="SK320819"/>
    <x v="2"/>
    <x v="10"/>
    <x v="20"/>
    <x v="22"/>
    <n v="1"/>
  </r>
  <r>
    <n v="48599964"/>
    <x v="35"/>
    <n v="8"/>
    <x v="1"/>
    <n v="2026"/>
    <s v="dr2141"/>
    <x v="0"/>
    <x v="0"/>
    <x v="46"/>
    <s v="Bristly Haircap"/>
    <x v="0"/>
    <x v="0"/>
    <x v="0"/>
    <x v="1"/>
    <x v="1"/>
    <x v="1"/>
    <x v="36"/>
    <s v="SD9719"/>
    <x v="0"/>
    <x v="11"/>
    <x v="56"/>
    <x v="69"/>
    <n v="0"/>
  </r>
  <r>
    <n v="49512913"/>
    <x v="0"/>
    <n v="4"/>
    <x v="0"/>
    <n v="2026"/>
    <s v="dr2141"/>
    <x v="0"/>
    <x v="0"/>
    <x v="30"/>
    <s v="Hart's-tongue Thyme-moss"/>
    <x v="0"/>
    <x v="0"/>
    <x v="0"/>
    <x v="0"/>
    <x v="4"/>
    <x v="8"/>
    <x v="29"/>
    <s v="SD96432673"/>
    <x v="0"/>
    <x v="0"/>
    <x v="0"/>
    <x v="0"/>
    <n v="2"/>
  </r>
  <r>
    <n v="50355879"/>
    <x v="30"/>
    <n v="24"/>
    <x v="0"/>
    <n v="2026"/>
    <s v="dr736"/>
    <x v="1"/>
    <x v="1"/>
    <x v="18"/>
    <s v="7-spot Ladybird"/>
    <x v="0"/>
    <x v="1"/>
    <x v="1"/>
    <x v="2"/>
    <x v="2"/>
    <x v="2"/>
    <x v="18"/>
    <s v="SK31298521"/>
    <x v="2"/>
    <x v="10"/>
    <x v="59"/>
    <x v="73"/>
    <n v="3"/>
  </r>
  <r>
    <n v="48667269"/>
    <x v="8"/>
    <n v="15"/>
    <x v="1"/>
    <n v="2026"/>
    <s v="dr2141"/>
    <x v="0"/>
    <x v="0"/>
    <x v="28"/>
    <s v="Common Tamarisk-moss"/>
    <x v="0"/>
    <x v="0"/>
    <x v="0"/>
    <x v="0"/>
    <x v="0"/>
    <x v="17"/>
    <x v="27"/>
    <s v="SE070169"/>
    <x v="1"/>
    <x v="8"/>
    <x v="8"/>
    <x v="74"/>
    <n v="4"/>
  </r>
  <r>
    <n v="49962480"/>
    <x v="12"/>
    <n v="12"/>
    <x v="0"/>
    <n v="2026"/>
    <s v="dr2141"/>
    <x v="0"/>
    <x v="0"/>
    <x v="25"/>
    <s v="Neat Feather-moss"/>
    <x v="0"/>
    <x v="0"/>
    <x v="0"/>
    <x v="0"/>
    <x v="0"/>
    <x v="7"/>
    <x v="24"/>
    <s v="SE137206"/>
    <x v="1"/>
    <x v="1"/>
    <x v="15"/>
    <x v="16"/>
    <n v="5"/>
  </r>
  <r>
    <n v="49671645"/>
    <x v="9"/>
    <n v="9"/>
    <x v="0"/>
    <n v="2026"/>
    <s v="dr2141"/>
    <x v="0"/>
    <x v="0"/>
    <x v="25"/>
    <s v="Neat Feather-moss"/>
    <x v="0"/>
    <x v="0"/>
    <x v="0"/>
    <x v="0"/>
    <x v="0"/>
    <x v="7"/>
    <x v="24"/>
    <s v="SE10772662"/>
    <x v="1"/>
    <x v="1"/>
    <x v="10"/>
    <x v="10"/>
    <n v="6"/>
  </r>
  <r>
    <n v="49303286"/>
    <x v="2"/>
    <n v="31"/>
    <x v="1"/>
    <n v="2026"/>
    <s v="dr2141"/>
    <x v="0"/>
    <x v="0"/>
    <x v="73"/>
    <s v="Green Mountain Fringe-moss"/>
    <x v="0"/>
    <x v="0"/>
    <x v="0"/>
    <x v="0"/>
    <x v="6"/>
    <x v="10"/>
    <x v="52"/>
    <s v="SD99741728"/>
    <x v="0"/>
    <x v="11"/>
    <x v="14"/>
    <x v="15"/>
    <n v="8"/>
  </r>
  <r>
    <n v="49303283"/>
    <x v="2"/>
    <n v="31"/>
    <x v="1"/>
    <n v="2026"/>
    <s v="dr2141"/>
    <x v="0"/>
    <x v="0"/>
    <x v="28"/>
    <s v="Common Tamarisk-moss"/>
    <x v="0"/>
    <x v="0"/>
    <x v="0"/>
    <x v="0"/>
    <x v="0"/>
    <x v="17"/>
    <x v="27"/>
    <s v="SD99861758"/>
    <x v="0"/>
    <x v="11"/>
    <x v="14"/>
    <x v="15"/>
    <n v="9"/>
  </r>
  <r>
    <n v="48789129"/>
    <x v="34"/>
    <n v="24"/>
    <x v="1"/>
    <n v="2026"/>
    <s v="dr736"/>
    <x v="1"/>
    <x v="1"/>
    <x v="7"/>
    <s v="Orange Ladybird"/>
    <x v="0"/>
    <x v="1"/>
    <x v="1"/>
    <x v="2"/>
    <x v="2"/>
    <x v="2"/>
    <x v="7"/>
    <s v="SK310851"/>
    <x v="2"/>
    <x v="10"/>
    <x v="59"/>
    <x v="73"/>
    <n v="5"/>
  </r>
  <r>
    <n v="49303290"/>
    <x v="2"/>
    <n v="31"/>
    <x v="1"/>
    <n v="2026"/>
    <s v="dr2141"/>
    <x v="0"/>
    <x v="0"/>
    <x v="45"/>
    <s v="Bog Groove-moss"/>
    <x v="0"/>
    <x v="0"/>
    <x v="0"/>
    <x v="0"/>
    <x v="13"/>
    <x v="25"/>
    <x v="38"/>
    <s v="SE00411708"/>
    <x v="1"/>
    <x v="8"/>
    <x v="23"/>
    <x v="44"/>
    <n v="2"/>
  </r>
  <r>
    <n v="49514957"/>
    <x v="0"/>
    <n v="4"/>
    <x v="0"/>
    <n v="2026"/>
    <s v="dr2141"/>
    <x v="0"/>
    <x v="0"/>
    <x v="8"/>
    <s v="Pointed Spear-moss"/>
    <x v="0"/>
    <x v="0"/>
    <x v="0"/>
    <x v="0"/>
    <x v="0"/>
    <x v="6"/>
    <x v="8"/>
    <s v="SD96922633"/>
    <x v="0"/>
    <x v="0"/>
    <x v="0"/>
    <x v="0"/>
    <n v="1"/>
  </r>
  <r>
    <n v="50023794"/>
    <x v="23"/>
    <n v="13"/>
    <x v="0"/>
    <n v="2026"/>
    <s v="dr2141"/>
    <x v="0"/>
    <x v="0"/>
    <x v="74"/>
    <s v="Intermediate Screw-moss"/>
    <x v="0"/>
    <x v="0"/>
    <x v="0"/>
    <x v="0"/>
    <x v="5"/>
    <x v="22"/>
    <x v="53"/>
    <s v="SK352850"/>
    <x v="2"/>
    <x v="10"/>
    <x v="30"/>
    <x v="36"/>
    <n v="4"/>
  </r>
  <r>
    <n v="49298810"/>
    <x v="2"/>
    <n v="31"/>
    <x v="1"/>
    <n v="2026"/>
    <s v="dr2141"/>
    <x v="0"/>
    <x v="0"/>
    <x v="13"/>
    <s v="Glittering Wood-moss"/>
    <x v="0"/>
    <x v="0"/>
    <x v="0"/>
    <x v="0"/>
    <x v="0"/>
    <x v="0"/>
    <x v="13"/>
    <s v="SD99861758"/>
    <x v="0"/>
    <x v="11"/>
    <x v="14"/>
    <x v="15"/>
    <n v="6"/>
  </r>
  <r>
    <n v="49303285"/>
    <x v="2"/>
    <n v="31"/>
    <x v="1"/>
    <n v="2026"/>
    <s v="dr2141"/>
    <x v="0"/>
    <x v="0"/>
    <x v="14"/>
    <s v="Common Feather-moss"/>
    <x v="0"/>
    <x v="0"/>
    <x v="0"/>
    <x v="0"/>
    <x v="0"/>
    <x v="7"/>
    <x v="14"/>
    <s v="SD99841747"/>
    <x v="0"/>
    <x v="11"/>
    <x v="14"/>
    <x v="15"/>
    <n v="8"/>
  </r>
  <r>
    <n v="49620074"/>
    <x v="19"/>
    <n v="6"/>
    <x v="0"/>
    <n v="2026"/>
    <s v="dr2141"/>
    <x v="0"/>
    <x v="0"/>
    <x v="28"/>
    <s v="Common Tamarisk-moss"/>
    <x v="0"/>
    <x v="0"/>
    <x v="0"/>
    <x v="0"/>
    <x v="0"/>
    <x v="17"/>
    <x v="27"/>
    <s v="SE07942009"/>
    <x v="1"/>
    <x v="7"/>
    <x v="31"/>
    <x v="75"/>
    <n v="7"/>
  </r>
  <r>
    <n v="49323240"/>
    <x v="3"/>
    <n v="1"/>
    <x v="0"/>
    <n v="2026"/>
    <s v="dr2141"/>
    <x v="0"/>
    <x v="0"/>
    <x v="0"/>
    <s v="Springy Turf-moss"/>
    <x v="0"/>
    <x v="0"/>
    <x v="0"/>
    <x v="0"/>
    <x v="0"/>
    <x v="0"/>
    <x v="0"/>
    <s v="SE25202315"/>
    <x v="1"/>
    <x v="6"/>
    <x v="9"/>
    <x v="39"/>
    <n v="9"/>
  </r>
  <r>
    <n v="48995013"/>
    <x v="16"/>
    <n v="23"/>
    <x v="1"/>
    <n v="2026"/>
    <s v="dr2141"/>
    <x v="0"/>
    <x v="0"/>
    <x v="46"/>
    <s v="Bristly Haircap"/>
    <x v="0"/>
    <x v="0"/>
    <x v="0"/>
    <x v="1"/>
    <x v="1"/>
    <x v="1"/>
    <x v="36"/>
    <s v="SE11922035"/>
    <x v="1"/>
    <x v="1"/>
    <x v="21"/>
    <x v="23"/>
    <n v="9"/>
  </r>
  <r>
    <n v="49620072"/>
    <x v="19"/>
    <n v="6"/>
    <x v="0"/>
    <n v="2026"/>
    <s v="dr2141"/>
    <x v="0"/>
    <x v="0"/>
    <x v="0"/>
    <s v="Springy Turf-moss"/>
    <x v="0"/>
    <x v="0"/>
    <x v="0"/>
    <x v="0"/>
    <x v="0"/>
    <x v="0"/>
    <x v="0"/>
    <s v="SE08222013"/>
    <x v="1"/>
    <x v="7"/>
    <x v="26"/>
    <x v="30"/>
    <n v="0"/>
  </r>
  <r>
    <n v="49298816"/>
    <x v="2"/>
    <n v="31"/>
    <x v="1"/>
    <n v="2026"/>
    <s v="dr2141"/>
    <x v="0"/>
    <x v="0"/>
    <x v="25"/>
    <s v="Neat Feather-moss"/>
    <x v="0"/>
    <x v="0"/>
    <x v="0"/>
    <x v="0"/>
    <x v="0"/>
    <x v="7"/>
    <x v="24"/>
    <s v="SD99871722"/>
    <x v="0"/>
    <x v="11"/>
    <x v="14"/>
    <x v="15"/>
    <n v="2"/>
  </r>
  <r>
    <n v="49642037"/>
    <x v="2"/>
    <n v="31"/>
    <x v="1"/>
    <n v="2026"/>
    <s v="dr736"/>
    <x v="1"/>
    <x v="1"/>
    <x v="75"/>
    <s v="16-spot Ladybird"/>
    <x v="0"/>
    <x v="1"/>
    <x v="1"/>
    <x v="2"/>
    <x v="2"/>
    <x v="2"/>
    <x v="58"/>
    <s v="SK452993"/>
    <x v="2"/>
    <x v="2"/>
    <x v="2"/>
    <x v="2"/>
    <n v="5"/>
  </r>
  <r>
    <n v="49513293"/>
    <x v="0"/>
    <n v="4"/>
    <x v="0"/>
    <n v="2026"/>
    <s v="dr2141"/>
    <x v="0"/>
    <x v="0"/>
    <x v="57"/>
    <s v="Swan's-neck Thyme-moss"/>
    <x v="0"/>
    <x v="0"/>
    <x v="0"/>
    <x v="0"/>
    <x v="4"/>
    <x v="8"/>
    <x v="46"/>
    <s v="SD9626"/>
    <x v="0"/>
    <x v="0"/>
    <x v="0"/>
    <x v="0"/>
    <n v="7"/>
  </r>
  <r>
    <n v="49303953"/>
    <x v="3"/>
    <n v="1"/>
    <x v="0"/>
    <n v="2026"/>
    <s v="dr2141"/>
    <x v="0"/>
    <x v="0"/>
    <x v="10"/>
    <s v="Rough-stalked Feather-moss"/>
    <x v="0"/>
    <x v="0"/>
    <x v="0"/>
    <x v="0"/>
    <x v="0"/>
    <x v="7"/>
    <x v="10"/>
    <s v="SK29239019"/>
    <x v="2"/>
    <x v="9"/>
    <x v="12"/>
    <x v="12"/>
    <n v="9"/>
  </r>
  <r>
    <n v="50023786"/>
    <x v="23"/>
    <n v="13"/>
    <x v="0"/>
    <n v="2026"/>
    <s v="dr2141"/>
    <x v="0"/>
    <x v="0"/>
    <x v="15"/>
    <s v="Grey-cushioned Grimmia"/>
    <x v="0"/>
    <x v="0"/>
    <x v="0"/>
    <x v="0"/>
    <x v="6"/>
    <x v="10"/>
    <x v="15"/>
    <s v="SK352850"/>
    <x v="2"/>
    <x v="10"/>
    <x v="30"/>
    <x v="36"/>
    <n v="3"/>
  </r>
  <r>
    <n v="49733082"/>
    <x v="9"/>
    <n v="9"/>
    <x v="0"/>
    <n v="2026"/>
    <s v="dr2451"/>
    <x v="2"/>
    <x v="2"/>
    <x v="5"/>
    <s v="Harvest Mouse"/>
    <x v="0"/>
    <x v="1"/>
    <x v="2"/>
    <x v="3"/>
    <x v="3"/>
    <x v="4"/>
    <x v="5"/>
    <s v="SE643173"/>
    <x v="1"/>
    <x v="20"/>
    <x v="60"/>
    <x v="76"/>
    <n v="2"/>
  </r>
  <r>
    <n v="49889539"/>
    <x v="7"/>
    <n v="11"/>
    <x v="0"/>
    <n v="2026"/>
    <s v="dr2141"/>
    <x v="0"/>
    <x v="0"/>
    <x v="40"/>
    <s v="Wall Screw-moss"/>
    <x v="0"/>
    <x v="0"/>
    <x v="0"/>
    <x v="0"/>
    <x v="5"/>
    <x v="22"/>
    <x v="35"/>
    <s v="SK362877"/>
    <x v="2"/>
    <x v="10"/>
    <x v="13"/>
    <x v="61"/>
    <n v="6"/>
  </r>
  <r>
    <n v="49304150"/>
    <x v="3"/>
    <n v="1"/>
    <x v="0"/>
    <n v="2026"/>
    <s v="dr2141"/>
    <x v="0"/>
    <x v="0"/>
    <x v="15"/>
    <s v="Grey-cushioned Grimmia"/>
    <x v="0"/>
    <x v="0"/>
    <x v="0"/>
    <x v="0"/>
    <x v="6"/>
    <x v="10"/>
    <x v="15"/>
    <s v="SK28699048"/>
    <x v="2"/>
    <x v="9"/>
    <x v="12"/>
    <x v="14"/>
    <n v="5"/>
  </r>
  <r>
    <n v="48742841"/>
    <x v="36"/>
    <n v="21"/>
    <x v="1"/>
    <n v="2026"/>
    <s v="dr2141"/>
    <x v="0"/>
    <x v="0"/>
    <x v="1"/>
    <s v="Common Smoothcap"/>
    <x v="0"/>
    <x v="0"/>
    <x v="0"/>
    <x v="1"/>
    <x v="1"/>
    <x v="1"/>
    <x v="1"/>
    <s v="SE07842399"/>
    <x v="1"/>
    <x v="7"/>
    <x v="61"/>
    <x v="77"/>
    <n v="8"/>
  </r>
  <r>
    <n v="49888484"/>
    <x v="7"/>
    <n v="11"/>
    <x v="0"/>
    <n v="2026"/>
    <s v="dr2141"/>
    <x v="0"/>
    <x v="0"/>
    <x v="23"/>
    <s v="Fox-tail Feather-moss"/>
    <x v="0"/>
    <x v="0"/>
    <x v="0"/>
    <x v="0"/>
    <x v="0"/>
    <x v="13"/>
    <x v="22"/>
    <s v="SE065269"/>
    <x v="1"/>
    <x v="7"/>
    <x v="7"/>
    <x v="7"/>
    <n v="9"/>
  </r>
  <r>
    <n v="49303287"/>
    <x v="2"/>
    <n v="31"/>
    <x v="1"/>
    <n v="2026"/>
    <s v="dr2141"/>
    <x v="0"/>
    <x v="0"/>
    <x v="76"/>
    <s v="Common Pincushion"/>
    <x v="0"/>
    <x v="0"/>
    <x v="0"/>
    <x v="0"/>
    <x v="5"/>
    <x v="38"/>
    <x v="59"/>
    <s v="SD99751727"/>
    <x v="0"/>
    <x v="11"/>
    <x v="14"/>
    <x v="15"/>
    <n v="0"/>
  </r>
  <r>
    <n v="48675302"/>
    <x v="21"/>
    <n v="16"/>
    <x v="1"/>
    <n v="2026"/>
    <s v="dr2141"/>
    <x v="0"/>
    <x v="0"/>
    <x v="14"/>
    <s v="Common Feather-moss"/>
    <x v="0"/>
    <x v="0"/>
    <x v="0"/>
    <x v="0"/>
    <x v="0"/>
    <x v="7"/>
    <x v="14"/>
    <s v="SE01952434"/>
    <x v="1"/>
    <x v="7"/>
    <x v="62"/>
    <x v="78"/>
    <n v="1"/>
  </r>
  <r>
    <n v="49888487"/>
    <x v="7"/>
    <n v="11"/>
    <x v="0"/>
    <n v="2026"/>
    <s v="dr2141"/>
    <x v="0"/>
    <x v="0"/>
    <x v="30"/>
    <s v="Hart's-tongue Thyme-moss"/>
    <x v="0"/>
    <x v="0"/>
    <x v="0"/>
    <x v="0"/>
    <x v="4"/>
    <x v="8"/>
    <x v="29"/>
    <s v="SE06612694"/>
    <x v="1"/>
    <x v="7"/>
    <x v="7"/>
    <x v="7"/>
    <n v="0"/>
  </r>
  <r>
    <n v="48995015"/>
    <x v="16"/>
    <n v="23"/>
    <x v="1"/>
    <n v="2026"/>
    <s v="dr2141"/>
    <x v="0"/>
    <x v="0"/>
    <x v="12"/>
    <s v="Broom Fork-moss"/>
    <x v="0"/>
    <x v="0"/>
    <x v="0"/>
    <x v="0"/>
    <x v="5"/>
    <x v="9"/>
    <x v="12"/>
    <s v="SE11922037"/>
    <x v="1"/>
    <x v="1"/>
    <x v="21"/>
    <x v="23"/>
    <n v="1"/>
  </r>
  <r>
    <n v="50020361"/>
    <x v="13"/>
    <n v="14"/>
    <x v="0"/>
    <n v="2026"/>
    <s v="dr2141"/>
    <x v="0"/>
    <x v="0"/>
    <x v="0"/>
    <s v="Springy Turf-moss"/>
    <x v="0"/>
    <x v="0"/>
    <x v="0"/>
    <x v="0"/>
    <x v="0"/>
    <x v="0"/>
    <x v="0"/>
    <s v="SD93103342"/>
    <x v="0"/>
    <x v="15"/>
    <x v="63"/>
    <x v="79"/>
    <n v="1"/>
  </r>
  <r>
    <n v="49724496"/>
    <x v="10"/>
    <n v="28"/>
    <x v="1"/>
    <n v="2026"/>
    <s v="dr2141"/>
    <x v="0"/>
    <x v="0"/>
    <x v="25"/>
    <s v="Neat Feather-moss"/>
    <x v="0"/>
    <x v="0"/>
    <x v="0"/>
    <x v="0"/>
    <x v="0"/>
    <x v="7"/>
    <x v="24"/>
    <s v="SE01022051"/>
    <x v="1"/>
    <x v="7"/>
    <x v="11"/>
    <x v="11"/>
    <n v="1"/>
  </r>
  <r>
    <n v="49724554"/>
    <x v="25"/>
    <n v="8"/>
    <x v="0"/>
    <n v="2026"/>
    <s v="dr2141"/>
    <x v="0"/>
    <x v="0"/>
    <x v="14"/>
    <s v="Common Feather-moss"/>
    <x v="0"/>
    <x v="0"/>
    <x v="0"/>
    <x v="0"/>
    <x v="0"/>
    <x v="7"/>
    <x v="14"/>
    <s v="SE2724"/>
    <x v="1"/>
    <x v="6"/>
    <x v="64"/>
    <x v="80"/>
    <n v="0"/>
  </r>
  <r>
    <n v="50326052"/>
    <x v="33"/>
    <n v="22"/>
    <x v="0"/>
    <n v="2026"/>
    <s v="dr736"/>
    <x v="1"/>
    <x v="1"/>
    <x v="19"/>
    <s v="Harlequin Ladybird"/>
    <x v="0"/>
    <x v="1"/>
    <x v="1"/>
    <x v="2"/>
    <x v="2"/>
    <x v="2"/>
    <x v="19"/>
    <s v="SD987280"/>
    <x v="0"/>
    <x v="0"/>
    <x v="50"/>
    <x v="59"/>
    <n v="2"/>
  </r>
  <r>
    <n v="49622602"/>
    <x v="2"/>
    <n v="31"/>
    <x v="1"/>
    <n v="2026"/>
    <s v="dr736"/>
    <x v="1"/>
    <x v="1"/>
    <x v="18"/>
    <s v="7-spot Ladybird"/>
    <x v="0"/>
    <x v="1"/>
    <x v="1"/>
    <x v="2"/>
    <x v="2"/>
    <x v="2"/>
    <x v="18"/>
    <s v="SK452993"/>
    <x v="2"/>
    <x v="2"/>
    <x v="2"/>
    <x v="2"/>
    <n v="3"/>
  </r>
  <r>
    <n v="49724559"/>
    <x v="9"/>
    <n v="9"/>
    <x v="0"/>
    <n v="2026"/>
    <s v="dr2141"/>
    <x v="0"/>
    <x v="0"/>
    <x v="28"/>
    <s v="Common Tamarisk-moss"/>
    <x v="0"/>
    <x v="0"/>
    <x v="0"/>
    <x v="0"/>
    <x v="0"/>
    <x v="17"/>
    <x v="27"/>
    <s v="SE10792659"/>
    <x v="1"/>
    <x v="1"/>
    <x v="10"/>
    <x v="10"/>
    <n v="4"/>
  </r>
  <r>
    <n v="48914263"/>
    <x v="34"/>
    <n v="24"/>
    <x v="1"/>
    <n v="2026"/>
    <s v="dr1215"/>
    <x v="3"/>
    <x v="3"/>
    <x v="37"/>
    <s v="Green Shieldbug"/>
    <x v="0"/>
    <x v="1"/>
    <x v="1"/>
    <x v="2"/>
    <x v="9"/>
    <x v="23"/>
    <x v="34"/>
    <s v="SK484969"/>
    <x v="2"/>
    <x v="2"/>
    <x v="65"/>
    <x v="81"/>
    <n v="5"/>
  </r>
  <r>
    <n v="49298817"/>
    <x v="2"/>
    <n v="31"/>
    <x v="1"/>
    <n v="2026"/>
    <s v="dr2141"/>
    <x v="0"/>
    <x v="0"/>
    <x v="45"/>
    <s v="Bog Groove-moss"/>
    <x v="0"/>
    <x v="0"/>
    <x v="0"/>
    <x v="0"/>
    <x v="13"/>
    <x v="25"/>
    <x v="38"/>
    <s v="SD99871722"/>
    <x v="0"/>
    <x v="11"/>
    <x v="14"/>
    <x v="15"/>
    <n v="6"/>
  </r>
  <r>
    <n v="49303280"/>
    <x v="2"/>
    <n v="31"/>
    <x v="1"/>
    <n v="2026"/>
    <s v="dr2141"/>
    <x v="0"/>
    <x v="0"/>
    <x v="13"/>
    <s v="Glittering Wood-moss"/>
    <x v="0"/>
    <x v="0"/>
    <x v="0"/>
    <x v="0"/>
    <x v="0"/>
    <x v="0"/>
    <x v="13"/>
    <s v="SE00771822"/>
    <x v="1"/>
    <x v="8"/>
    <x v="18"/>
    <x v="25"/>
    <n v="8"/>
  </r>
  <r>
    <n v="49724512"/>
    <x v="4"/>
    <n v="3"/>
    <x v="0"/>
    <n v="2026"/>
    <s v="dr2141"/>
    <x v="0"/>
    <x v="0"/>
    <x v="77"/>
    <s v="Common Pocket-moss"/>
    <x v="0"/>
    <x v="0"/>
    <x v="0"/>
    <x v="0"/>
    <x v="5"/>
    <x v="39"/>
    <x v="60"/>
    <s v="SE11693477"/>
    <x v="1"/>
    <x v="4"/>
    <x v="4"/>
    <x v="4"/>
    <n v="9"/>
  </r>
  <r>
    <n v="49888481"/>
    <x v="7"/>
    <n v="11"/>
    <x v="0"/>
    <n v="2026"/>
    <s v="dr2141"/>
    <x v="0"/>
    <x v="0"/>
    <x v="6"/>
    <s v="Heath Plait-moss"/>
    <x v="0"/>
    <x v="0"/>
    <x v="0"/>
    <x v="0"/>
    <x v="0"/>
    <x v="5"/>
    <x v="6"/>
    <s v="SE08472593"/>
    <x v="1"/>
    <x v="7"/>
    <x v="48"/>
    <x v="56"/>
    <n v="5"/>
  </r>
  <r>
    <n v="49620075"/>
    <x v="19"/>
    <n v="6"/>
    <x v="0"/>
    <n v="2026"/>
    <s v="dr2141"/>
    <x v="0"/>
    <x v="0"/>
    <x v="57"/>
    <s v="Swan's-neck Thyme-moss"/>
    <x v="0"/>
    <x v="0"/>
    <x v="0"/>
    <x v="0"/>
    <x v="4"/>
    <x v="8"/>
    <x v="46"/>
    <s v="SE07501994"/>
    <x v="1"/>
    <x v="8"/>
    <x v="27"/>
    <x v="31"/>
    <n v="2"/>
  </r>
  <r>
    <n v="50032426"/>
    <x v="15"/>
    <n v="15"/>
    <x v="0"/>
    <n v="2026"/>
    <s v="dr2141"/>
    <x v="0"/>
    <x v="0"/>
    <x v="43"/>
    <s v="Cypress-leaved Plait-moss"/>
    <x v="0"/>
    <x v="0"/>
    <x v="0"/>
    <x v="0"/>
    <x v="0"/>
    <x v="5"/>
    <x v="6"/>
    <s v="SK324817"/>
    <x v="2"/>
    <x v="10"/>
    <x v="20"/>
    <x v="22"/>
    <n v="1"/>
  </r>
  <r>
    <n v="48667260"/>
    <x v="18"/>
    <n v="14"/>
    <x v="1"/>
    <n v="2026"/>
    <s v="dr2141"/>
    <x v="0"/>
    <x v="0"/>
    <x v="78"/>
    <s v="Little Shaggy-moss"/>
    <x v="0"/>
    <x v="0"/>
    <x v="0"/>
    <x v="0"/>
    <x v="0"/>
    <x v="0"/>
    <x v="0"/>
    <s v="SD91422820"/>
    <x v="0"/>
    <x v="0"/>
    <x v="25"/>
    <x v="29"/>
    <n v="4"/>
  </r>
  <r>
    <n v="48995012"/>
    <x v="16"/>
    <n v="23"/>
    <x v="1"/>
    <n v="2026"/>
    <s v="dr2141"/>
    <x v="0"/>
    <x v="0"/>
    <x v="25"/>
    <s v="Neat Feather-moss"/>
    <x v="0"/>
    <x v="0"/>
    <x v="0"/>
    <x v="0"/>
    <x v="0"/>
    <x v="7"/>
    <x v="24"/>
    <s v="SE11792044"/>
    <x v="1"/>
    <x v="1"/>
    <x v="21"/>
    <x v="23"/>
    <n v="6"/>
  </r>
  <r>
    <n v="49961901"/>
    <x v="12"/>
    <n v="12"/>
    <x v="0"/>
    <n v="2026"/>
    <s v="dr2141"/>
    <x v="0"/>
    <x v="0"/>
    <x v="74"/>
    <s v="Intermediate Screw-moss"/>
    <x v="0"/>
    <x v="0"/>
    <x v="0"/>
    <x v="0"/>
    <x v="5"/>
    <x v="22"/>
    <x v="53"/>
    <s v="SK347873"/>
    <x v="2"/>
    <x v="10"/>
    <x v="19"/>
    <x v="21"/>
    <n v="8"/>
  </r>
  <r>
    <n v="50031441"/>
    <x v="13"/>
    <n v="14"/>
    <x v="0"/>
    <n v="2026"/>
    <s v="dr736"/>
    <x v="1"/>
    <x v="1"/>
    <x v="79"/>
    <s v="Cream-spot Ladybird"/>
    <x v="0"/>
    <x v="1"/>
    <x v="1"/>
    <x v="2"/>
    <x v="2"/>
    <x v="2"/>
    <x v="61"/>
    <s v="SE05182364"/>
    <x v="1"/>
    <x v="7"/>
    <x v="16"/>
    <x v="18"/>
    <n v="7"/>
  </r>
  <r>
    <n v="50084944"/>
    <x v="38"/>
    <n v="18"/>
    <x v="0"/>
    <n v="2026"/>
    <s v="dr1215"/>
    <x v="3"/>
    <x v="3"/>
    <x v="59"/>
    <s v="Hawthorn Shieldbug"/>
    <x v="0"/>
    <x v="1"/>
    <x v="1"/>
    <x v="2"/>
    <x v="9"/>
    <x v="31"/>
    <x v="48"/>
    <s v="SD99320419"/>
    <x v="0"/>
    <x v="21"/>
    <x v="66"/>
    <x v="82"/>
    <n v="9"/>
  </r>
  <r>
    <n v="49671663"/>
    <x v="9"/>
    <n v="9"/>
    <x v="0"/>
    <n v="2026"/>
    <s v="dr2141"/>
    <x v="0"/>
    <x v="0"/>
    <x v="14"/>
    <s v="Common Feather-moss"/>
    <x v="0"/>
    <x v="0"/>
    <x v="0"/>
    <x v="0"/>
    <x v="0"/>
    <x v="7"/>
    <x v="14"/>
    <s v="SE10722679"/>
    <x v="1"/>
    <x v="1"/>
    <x v="10"/>
    <x v="10"/>
    <n v="9"/>
  </r>
  <r>
    <n v="49888488"/>
    <x v="7"/>
    <n v="11"/>
    <x v="0"/>
    <n v="2026"/>
    <s v="dr2141"/>
    <x v="0"/>
    <x v="0"/>
    <x v="0"/>
    <s v="Springy Turf-moss"/>
    <x v="0"/>
    <x v="0"/>
    <x v="0"/>
    <x v="0"/>
    <x v="0"/>
    <x v="0"/>
    <x v="0"/>
    <s v="SE066269"/>
    <x v="1"/>
    <x v="7"/>
    <x v="7"/>
    <x v="7"/>
    <n v="0"/>
  </r>
  <r>
    <n v="49304156"/>
    <x v="3"/>
    <n v="1"/>
    <x v="0"/>
    <n v="2026"/>
    <s v="dr2141"/>
    <x v="0"/>
    <x v="0"/>
    <x v="80"/>
    <s v="Dilated Scalewort"/>
    <x v="0"/>
    <x v="0"/>
    <x v="3"/>
    <x v="5"/>
    <x v="11"/>
    <x v="40"/>
    <x v="62"/>
    <s v="SK293900"/>
    <x v="2"/>
    <x v="9"/>
    <x v="12"/>
    <x v="12"/>
    <n v="2"/>
  </r>
  <r>
    <n v="49030070"/>
    <x v="27"/>
    <n v="20"/>
    <x v="1"/>
    <n v="2026"/>
    <s v="dr2141"/>
    <x v="0"/>
    <x v="0"/>
    <x v="46"/>
    <s v="Bristly Haircap"/>
    <x v="0"/>
    <x v="0"/>
    <x v="0"/>
    <x v="1"/>
    <x v="1"/>
    <x v="1"/>
    <x v="36"/>
    <s v="SE09253399"/>
    <x v="1"/>
    <x v="16"/>
    <x v="38"/>
    <x v="46"/>
    <n v="5"/>
  </r>
  <r>
    <n v="49249920"/>
    <x v="28"/>
    <n v="29"/>
    <x v="1"/>
    <n v="2026"/>
    <s v="dr2141"/>
    <x v="0"/>
    <x v="0"/>
    <x v="15"/>
    <s v="Grey-cushioned Grimmia"/>
    <x v="0"/>
    <x v="0"/>
    <x v="0"/>
    <x v="0"/>
    <x v="6"/>
    <x v="10"/>
    <x v="15"/>
    <s v="SK357877"/>
    <x v="2"/>
    <x v="10"/>
    <x v="19"/>
    <x v="26"/>
    <n v="7"/>
  </r>
  <r>
    <n v="48722327"/>
    <x v="27"/>
    <n v="20"/>
    <x v="1"/>
    <n v="2026"/>
    <s v="dr2141"/>
    <x v="0"/>
    <x v="0"/>
    <x v="13"/>
    <s v="Glittering Wood-moss"/>
    <x v="0"/>
    <x v="0"/>
    <x v="0"/>
    <x v="0"/>
    <x v="0"/>
    <x v="0"/>
    <x v="13"/>
    <s v="SE09403390"/>
    <x v="1"/>
    <x v="16"/>
    <x v="38"/>
    <x v="46"/>
    <n v="9"/>
  </r>
  <r>
    <n v="49512908"/>
    <x v="0"/>
    <n v="4"/>
    <x v="0"/>
    <n v="2026"/>
    <s v="dr2141"/>
    <x v="0"/>
    <x v="0"/>
    <x v="25"/>
    <s v="Neat Feather-moss"/>
    <x v="0"/>
    <x v="0"/>
    <x v="0"/>
    <x v="0"/>
    <x v="0"/>
    <x v="7"/>
    <x v="24"/>
    <s v="SD96652651"/>
    <x v="0"/>
    <x v="0"/>
    <x v="0"/>
    <x v="0"/>
    <n v="3"/>
  </r>
  <r>
    <n v="48762751"/>
    <x v="16"/>
    <n v="23"/>
    <x v="1"/>
    <n v="2026"/>
    <s v="dr671"/>
    <x v="2"/>
    <x v="2"/>
    <x v="55"/>
    <s v="Roe Deer"/>
    <x v="0"/>
    <x v="1"/>
    <x v="2"/>
    <x v="3"/>
    <x v="15"/>
    <x v="28"/>
    <x v="44"/>
    <s v="SE118204"/>
    <x v="1"/>
    <x v="1"/>
    <x v="21"/>
    <x v="23"/>
    <n v="2"/>
  </r>
  <r>
    <n v="50026586"/>
    <x v="23"/>
    <n v="13"/>
    <x v="0"/>
    <n v="2026"/>
    <s v="dr2141"/>
    <x v="0"/>
    <x v="0"/>
    <x v="81"/>
    <s v="Swartz's Feather-moss"/>
    <x v="0"/>
    <x v="0"/>
    <x v="0"/>
    <x v="0"/>
    <x v="0"/>
    <x v="7"/>
    <x v="63"/>
    <s v="SK351848"/>
    <x v="2"/>
    <x v="10"/>
    <x v="30"/>
    <x v="83"/>
    <n v="6"/>
  </r>
  <r>
    <n v="49298809"/>
    <x v="2"/>
    <n v="31"/>
    <x v="1"/>
    <n v="2026"/>
    <s v="dr2141"/>
    <x v="0"/>
    <x v="0"/>
    <x v="24"/>
    <s v="Heath Star Moss"/>
    <x v="0"/>
    <x v="0"/>
    <x v="0"/>
    <x v="0"/>
    <x v="5"/>
    <x v="14"/>
    <x v="23"/>
    <s v="SD99921769"/>
    <x v="0"/>
    <x v="11"/>
    <x v="14"/>
    <x v="15"/>
    <n v="5"/>
  </r>
  <r>
    <n v="49298824"/>
    <x v="2"/>
    <n v="31"/>
    <x v="1"/>
    <n v="2026"/>
    <s v="dr2141"/>
    <x v="0"/>
    <x v="0"/>
    <x v="82"/>
    <s v="Silky Forklet-moss"/>
    <x v="0"/>
    <x v="0"/>
    <x v="0"/>
    <x v="0"/>
    <x v="5"/>
    <x v="41"/>
    <x v="64"/>
    <s v="SE01901733"/>
    <x v="1"/>
    <x v="8"/>
    <x v="23"/>
    <x v="27"/>
    <n v="8"/>
  </r>
  <r>
    <n v="48742842"/>
    <x v="36"/>
    <n v="21"/>
    <x v="1"/>
    <n v="2026"/>
    <s v="dr2141"/>
    <x v="0"/>
    <x v="0"/>
    <x v="46"/>
    <s v="Bristly Haircap"/>
    <x v="0"/>
    <x v="0"/>
    <x v="0"/>
    <x v="1"/>
    <x v="1"/>
    <x v="1"/>
    <x v="36"/>
    <s v="SE07812403"/>
    <x v="1"/>
    <x v="7"/>
    <x v="67"/>
    <x v="84"/>
    <n v="9"/>
  </r>
  <r>
    <n v="49395891"/>
    <x v="3"/>
    <n v="1"/>
    <x v="0"/>
    <n v="2026"/>
    <s v="dr2141"/>
    <x v="0"/>
    <x v="0"/>
    <x v="12"/>
    <s v="Broom Fork-moss"/>
    <x v="0"/>
    <x v="0"/>
    <x v="0"/>
    <x v="0"/>
    <x v="5"/>
    <x v="9"/>
    <x v="12"/>
    <s v="SE25252319"/>
    <x v="1"/>
    <x v="6"/>
    <x v="9"/>
    <x v="39"/>
    <n v="0"/>
  </r>
  <r>
    <n v="48665828"/>
    <x v="8"/>
    <n v="15"/>
    <x v="1"/>
    <n v="2026"/>
    <s v="dr2141"/>
    <x v="0"/>
    <x v="0"/>
    <x v="14"/>
    <s v="Common Feather-moss"/>
    <x v="0"/>
    <x v="0"/>
    <x v="0"/>
    <x v="0"/>
    <x v="0"/>
    <x v="7"/>
    <x v="14"/>
    <s v="SE07111710"/>
    <x v="1"/>
    <x v="8"/>
    <x v="8"/>
    <x v="8"/>
    <n v="1"/>
  </r>
  <r>
    <n v="49381976"/>
    <x v="6"/>
    <n v="2"/>
    <x v="0"/>
    <n v="2026"/>
    <s v="dr2141"/>
    <x v="0"/>
    <x v="0"/>
    <x v="0"/>
    <s v="Springy Turf-moss"/>
    <x v="0"/>
    <x v="0"/>
    <x v="0"/>
    <x v="0"/>
    <x v="0"/>
    <x v="0"/>
    <x v="0"/>
    <s v="SE20322932"/>
    <x v="1"/>
    <x v="6"/>
    <x v="6"/>
    <x v="6"/>
    <n v="0"/>
  </r>
  <r>
    <n v="49395884"/>
    <x v="2"/>
    <n v="31"/>
    <x v="1"/>
    <n v="2026"/>
    <s v="dr2141"/>
    <x v="0"/>
    <x v="0"/>
    <x v="17"/>
    <s v="Fringed Bog-moss"/>
    <x v="0"/>
    <x v="0"/>
    <x v="0"/>
    <x v="4"/>
    <x v="7"/>
    <x v="11"/>
    <x v="17"/>
    <s v="SD99851722"/>
    <x v="0"/>
    <x v="11"/>
    <x v="14"/>
    <x v="15"/>
    <n v="1"/>
  </r>
  <r>
    <n v="49603675"/>
    <x v="19"/>
    <n v="6"/>
    <x v="0"/>
    <n v="2026"/>
    <s v="dr1215"/>
    <x v="3"/>
    <x v="3"/>
    <x v="29"/>
    <s v="Western Conifer Seed Bug"/>
    <x v="0"/>
    <x v="1"/>
    <x v="1"/>
    <x v="2"/>
    <x v="9"/>
    <x v="18"/>
    <x v="28"/>
    <s v="SK342851"/>
    <x v="2"/>
    <x v="10"/>
    <x v="30"/>
    <x v="3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3705C8-B7D5-4EAF-A822-777ADFA1B9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23">
    <pivotField showAll="0"/>
    <pivotField numFmtId="14"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11"/>
  </rowFields>
  <rowItems count="3">
    <i>
      <x/>
    </i>
    <i>
      <x v="1"/>
    </i>
    <i t="grand">
      <x/>
    </i>
  </rowItems>
  <colItems count="1">
    <i/>
  </colItems>
  <dataFields count="1">
    <dataField name="Sum of Count" fld="22"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0C0C11-AC09-4AC4-A935-5A55DD02A12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8:S13" firstHeaderRow="1" firstDataRow="2" firstDataCol="1"/>
  <pivotFields count="25">
    <pivotField showAll="0"/>
    <pivotField numFmtId="14" showAll="0">
      <items count="40">
        <item x="29"/>
        <item x="35"/>
        <item x="22"/>
        <item x="20"/>
        <item x="31"/>
        <item x="18"/>
        <item x="8"/>
        <item x="21"/>
        <item x="26"/>
        <item x="14"/>
        <item x="27"/>
        <item x="36"/>
        <item x="1"/>
        <item x="16"/>
        <item x="34"/>
        <item x="37"/>
        <item x="5"/>
        <item x="10"/>
        <item x="28"/>
        <item x="11"/>
        <item x="2"/>
        <item x="3"/>
        <item x="6"/>
        <item x="4"/>
        <item x="0"/>
        <item x="19"/>
        <item x="32"/>
        <item x="25"/>
        <item x="9"/>
        <item x="24"/>
        <item x="7"/>
        <item x="12"/>
        <item x="23"/>
        <item x="13"/>
        <item x="15"/>
        <item x="38"/>
        <item x="17"/>
        <item x="33"/>
        <item x="30"/>
        <item t="default"/>
      </items>
    </pivotField>
    <pivotField showAll="0"/>
    <pivotField axis="axisCol" dataField="1" showAll="0">
      <items count="3">
        <item n="Jan" x="1"/>
        <item n="Feb"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8"/>
  </rowFields>
  <rowItems count="4">
    <i>
      <x/>
    </i>
    <i>
      <x v="1"/>
    </i>
    <i>
      <x v="2"/>
    </i>
    <i t="grand">
      <x/>
    </i>
  </rowItems>
  <colFields count="1">
    <field x="3"/>
  </colFields>
  <colItems count="3">
    <i>
      <x/>
    </i>
    <i>
      <x v="1"/>
    </i>
    <i t="grand">
      <x/>
    </i>
  </colItems>
  <dataFields count="1">
    <dataField name="Sum of Month"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FFE631-5FE6-4910-B775-6CBA2F8040C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S6" firstHeaderRow="1" firstDataRow="2" firstDataCol="1"/>
  <pivotFields count="25">
    <pivotField showAll="0"/>
    <pivotField numFmtId="14" showAll="0">
      <items count="40">
        <item x="29"/>
        <item x="35"/>
        <item x="22"/>
        <item x="20"/>
        <item x="31"/>
        <item x="18"/>
        <item x="8"/>
        <item x="21"/>
        <item x="26"/>
        <item x="14"/>
        <item x="27"/>
        <item x="36"/>
        <item x="1"/>
        <item x="16"/>
        <item x="34"/>
        <item x="37"/>
        <item x="5"/>
        <item x="10"/>
        <item x="28"/>
        <item x="11"/>
        <item x="2"/>
        <item x="3"/>
        <item x="6"/>
        <item x="4"/>
        <item x="0"/>
        <item x="19"/>
        <item x="32"/>
        <item x="25"/>
        <item x="9"/>
        <item x="24"/>
        <item x="7"/>
        <item x="12"/>
        <item x="23"/>
        <item x="13"/>
        <item x="15"/>
        <item x="38"/>
        <item x="17"/>
        <item x="33"/>
        <item x="30"/>
        <item t="default"/>
      </items>
    </pivotField>
    <pivotField showAll="0"/>
    <pivotField axis="axisCol" dataField="1" showAll="0">
      <items count="3">
        <item n="Jan" x="1"/>
        <item n="Feb" x="0"/>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3">
    <i>
      <x/>
    </i>
    <i>
      <x v="1"/>
    </i>
    <i t="grand">
      <x/>
    </i>
  </rowItems>
  <colFields count="1">
    <field x="3"/>
  </colFields>
  <colItems count="3">
    <i>
      <x/>
    </i>
    <i>
      <x v="1"/>
    </i>
    <i t="grand">
      <x/>
    </i>
  </colItems>
  <dataFields count="1">
    <dataField name="Sum of Month"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02E824-994D-48CB-8AF0-629406179D9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P15:S24" firstHeaderRow="1" firstDataRow="2" firstDataCol="1"/>
  <pivotFields count="25">
    <pivotField showAll="0"/>
    <pivotField numFmtId="14" showAll="0">
      <items count="40">
        <item x="29"/>
        <item x="35"/>
        <item x="22"/>
        <item x="20"/>
        <item x="31"/>
        <item x="18"/>
        <item x="8"/>
        <item x="21"/>
        <item x="26"/>
        <item x="14"/>
        <item x="27"/>
        <item x="36"/>
        <item x="1"/>
        <item x="16"/>
        <item x="34"/>
        <item x="37"/>
        <item x="5"/>
        <item x="10"/>
        <item x="28"/>
        <item x="11"/>
        <item x="2"/>
        <item x="3"/>
        <item x="6"/>
        <item x="4"/>
        <item x="0"/>
        <item x="19"/>
        <item x="32"/>
        <item x="25"/>
        <item x="9"/>
        <item x="24"/>
        <item x="7"/>
        <item x="12"/>
        <item x="23"/>
        <item x="13"/>
        <item x="15"/>
        <item x="38"/>
        <item x="17"/>
        <item x="33"/>
        <item x="30"/>
        <item t="default"/>
      </items>
    </pivotField>
    <pivotField showAll="0"/>
    <pivotField axis="axisCol" dataField="1" showAll="0">
      <items count="3">
        <item n="Jan" x="1"/>
        <item n="Feb" x="0"/>
        <item t="default"/>
      </items>
    </pivotField>
    <pivotField showAll="0"/>
    <pivotField showAll="0"/>
    <pivotField showAll="0"/>
    <pivotField showAll="0"/>
    <pivotField showAll="0"/>
    <pivotField showAll="0"/>
    <pivotField showAll="0"/>
    <pivotField showAll="0"/>
    <pivotField showAll="0"/>
    <pivotField axis="axisRow" showAll="0">
      <items count="8">
        <item x="0"/>
        <item x="2"/>
        <item x="5"/>
        <item x="3"/>
        <item x="6"/>
        <item x="1"/>
        <item x="4"/>
        <item t="default"/>
      </items>
    </pivotField>
    <pivotField showAll="0">
      <items count="21">
        <item x="15"/>
        <item x="13"/>
        <item x="4"/>
        <item x="2"/>
        <item x="5"/>
        <item x="12"/>
        <item x="19"/>
        <item x="6"/>
        <item x="9"/>
        <item x="0"/>
        <item x="10"/>
        <item x="17"/>
        <item x="16"/>
        <item x="18"/>
        <item x="14"/>
        <item x="8"/>
        <item x="1"/>
        <item x="11"/>
        <item x="3"/>
        <item x="7"/>
        <item t="default"/>
      </items>
    </pivotField>
    <pivotField showAll="0"/>
    <pivotField showAll="0">
      <items count="66">
        <item x="48"/>
        <item x="2"/>
        <item x="4"/>
        <item x="1"/>
        <item x="38"/>
        <item x="10"/>
        <item x="21"/>
        <item x="8"/>
        <item x="61"/>
        <item x="23"/>
        <item x="44"/>
        <item x="31"/>
        <item x="18"/>
        <item x="3"/>
        <item x="56"/>
        <item x="55"/>
        <item x="64"/>
        <item x="59"/>
        <item x="12"/>
        <item x="33"/>
        <item x="30"/>
        <item x="37"/>
        <item x="60"/>
        <item x="62"/>
        <item x="54"/>
        <item x="45"/>
        <item x="15"/>
        <item x="7"/>
        <item x="19"/>
        <item x="20"/>
        <item x="42"/>
        <item x="13"/>
        <item x="6"/>
        <item x="14"/>
        <item x="28"/>
        <item x="40"/>
        <item x="50"/>
        <item x="47"/>
        <item x="51"/>
        <item x="5"/>
        <item x="46"/>
        <item x="39"/>
        <item x="63"/>
        <item x="34"/>
        <item x="26"/>
        <item x="29"/>
        <item x="25"/>
        <item x="9"/>
        <item x="36"/>
        <item x="24"/>
        <item x="49"/>
        <item x="52"/>
        <item x="32"/>
        <item x="11"/>
        <item x="43"/>
        <item x="0"/>
        <item x="57"/>
        <item x="41"/>
        <item x="16"/>
        <item x="17"/>
        <item x="53"/>
        <item x="22"/>
        <item x="27"/>
        <item x="35"/>
        <item x="58"/>
        <item t="default"/>
      </items>
    </pivotField>
    <pivotField showAll="0"/>
    <pivotField showAll="0">
      <items count="4">
        <item x="0"/>
        <item x="1"/>
        <item x="2"/>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8">
    <i>
      <x/>
    </i>
    <i>
      <x v="1"/>
    </i>
    <i>
      <x v="2"/>
    </i>
    <i>
      <x v="3"/>
    </i>
    <i>
      <x v="4"/>
    </i>
    <i>
      <x v="5"/>
    </i>
    <i>
      <x v="6"/>
    </i>
    <i t="grand">
      <x/>
    </i>
  </rowItems>
  <colFields count="1">
    <field x="3"/>
  </colFields>
  <colItems count="3">
    <i>
      <x/>
    </i>
    <i>
      <x v="1"/>
    </i>
    <i t="grand">
      <x/>
    </i>
  </colItems>
  <dataFields count="1">
    <dataField name="Sum of Month" fld="3" baseField="0" baseItem="0"/>
  </dataFields>
  <chartFormats count="16">
    <chartFormat chart="6" format="5" series="1">
      <pivotArea type="data" outline="0" fieldPosition="0">
        <references count="2">
          <reference field="4294967294" count="1" selected="0">
            <x v="0"/>
          </reference>
          <reference field="3" count="1" selected="0">
            <x v="0"/>
          </reference>
        </references>
      </pivotArea>
    </chartFormat>
    <chartFormat chart="6" format="6" series="1">
      <pivotArea type="data" outline="0" fieldPosition="0">
        <references count="2">
          <reference field="4294967294" count="1" selected="0">
            <x v="0"/>
          </reference>
          <reference field="3" count="1" selected="0">
            <x v="1"/>
          </reference>
        </references>
      </pivotArea>
    </chartFormat>
    <chartFormat chart="6" format="7"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4"/>
          </reference>
        </references>
      </pivotArea>
    </chartFormat>
    <chartFormat chart="6" format="9" series="1">
      <pivotArea type="data" outline="0" fieldPosition="0">
        <references count="2">
          <reference field="4294967294" count="1" selected="0">
            <x v="0"/>
          </reference>
          <reference field="13" count="1" selected="0">
            <x v="5"/>
          </reference>
        </references>
      </pivotArea>
    </chartFormat>
    <chartFormat chart="6" format="10" series="1">
      <pivotArea type="data" outline="0" fieldPosition="0">
        <references count="2">
          <reference field="4294967294" count="1" selected="0">
            <x v="0"/>
          </reference>
          <reference field="13" count="1" selected="0">
            <x v="6"/>
          </reference>
        </references>
      </pivotArea>
    </chartFormat>
    <chartFormat chart="6" format="11" series="1">
      <pivotArea type="data" outline="0" fieldPosition="0">
        <references count="2">
          <reference field="4294967294" count="1" selected="0">
            <x v="0"/>
          </reference>
          <reference field="13" count="1" selected="0">
            <x v="1"/>
          </reference>
        </references>
      </pivotArea>
    </chartFormat>
    <chartFormat chart="6" format="12" series="1">
      <pivotArea type="data" outline="0" fieldPosition="0">
        <references count="2">
          <reference field="4294967294" count="1" selected="0">
            <x v="0"/>
          </reference>
          <reference field="13" count="1" selected="0">
            <x v="2"/>
          </reference>
        </references>
      </pivotArea>
    </chartFormat>
    <chartFormat chart="6" format="13">
      <pivotArea type="data" outline="0" fieldPosition="0">
        <references count="3">
          <reference field="4294967294" count="1" selected="0">
            <x v="0"/>
          </reference>
          <reference field="3" count="1" selected="0">
            <x v="0"/>
          </reference>
          <reference field="13" count="1" selected="0">
            <x v="1"/>
          </reference>
        </references>
      </pivotArea>
    </chartFormat>
    <chartFormat chart="6" format="14">
      <pivotArea type="data" outline="0" fieldPosition="0">
        <references count="3">
          <reference field="4294967294" count="1" selected="0">
            <x v="0"/>
          </reference>
          <reference field="3" count="1" selected="0">
            <x v="0"/>
          </reference>
          <reference field="13" count="1" selected="0">
            <x v="2"/>
          </reference>
        </references>
      </pivotArea>
    </chartFormat>
    <chartFormat chart="6" format="15">
      <pivotArea type="data" outline="0" fieldPosition="0">
        <references count="3">
          <reference field="4294967294" count="1" selected="0">
            <x v="0"/>
          </reference>
          <reference field="3" count="1" selected="0">
            <x v="0"/>
          </reference>
          <reference field="13" count="1" selected="0">
            <x v="3"/>
          </reference>
        </references>
      </pivotArea>
    </chartFormat>
    <chartFormat chart="6" format="16">
      <pivotArea type="data" outline="0" fieldPosition="0">
        <references count="3">
          <reference field="4294967294" count="1" selected="0">
            <x v="0"/>
          </reference>
          <reference field="3" count="1" selected="0">
            <x v="0"/>
          </reference>
          <reference field="13" count="1" selected="0">
            <x v="4"/>
          </reference>
        </references>
      </pivotArea>
    </chartFormat>
    <chartFormat chart="6" format="17">
      <pivotArea type="data" outline="0" fieldPosition="0">
        <references count="3">
          <reference field="4294967294" count="1" selected="0">
            <x v="0"/>
          </reference>
          <reference field="3" count="1" selected="0">
            <x v="0"/>
          </reference>
          <reference field="13" count="1" selected="0">
            <x v="5"/>
          </reference>
        </references>
      </pivotArea>
    </chartFormat>
    <chartFormat chart="6" format="18">
      <pivotArea type="data" outline="0" fieldPosition="0">
        <references count="3">
          <reference field="4294967294" count="1" selected="0">
            <x v="0"/>
          </reference>
          <reference field="3" count="1" selected="0">
            <x v="0"/>
          </reference>
          <reference field="13" count="1" selected="0">
            <x v="6"/>
          </reference>
        </references>
      </pivotArea>
    </chartFormat>
    <chartFormat chart="15" format="21" series="1">
      <pivotArea type="data" outline="0" fieldPosition="0">
        <references count="2">
          <reference field="4294967294" count="1" selected="0">
            <x v="0"/>
          </reference>
          <reference field="3" count="1" selected="0">
            <x v="0"/>
          </reference>
        </references>
      </pivotArea>
    </chartFormat>
    <chartFormat chart="15" format="22"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BE5379-FE0A-4646-A16D-9B8BF210D16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L7" firstHeaderRow="1" firstDataRow="2" firstDataCol="1"/>
  <pivotFields count="25">
    <pivotField showAll="0"/>
    <pivotField numFmtId="14" showAll="0">
      <items count="40">
        <item x="29"/>
        <item x="35"/>
        <item x="22"/>
        <item x="20"/>
        <item x="31"/>
        <item x="18"/>
        <item x="8"/>
        <item x="21"/>
        <item x="26"/>
        <item x="14"/>
        <item x="27"/>
        <item x="36"/>
        <item x="1"/>
        <item x="16"/>
        <item x="34"/>
        <item x="37"/>
        <item x="5"/>
        <item x="10"/>
        <item x="28"/>
        <item x="11"/>
        <item x="2"/>
        <item x="3"/>
        <item x="6"/>
        <item x="4"/>
        <item x="0"/>
        <item x="19"/>
        <item x="32"/>
        <item x="25"/>
        <item x="9"/>
        <item x="24"/>
        <item x="7"/>
        <item x="12"/>
        <item x="23"/>
        <item x="13"/>
        <item x="15"/>
        <item x="38"/>
        <item x="17"/>
        <item x="33"/>
        <item x="30"/>
        <item t="default"/>
      </items>
    </pivotField>
    <pivotField showAll="0"/>
    <pivotField axis="axisCol" dataField="1" showAll="0">
      <items count="3">
        <item n="Jan" x="1"/>
        <item n="Feb"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8"/>
  </rowFields>
  <rowItems count="4">
    <i>
      <x/>
    </i>
    <i>
      <x v="1"/>
    </i>
    <i>
      <x v="2"/>
    </i>
    <i t="grand">
      <x/>
    </i>
  </rowItems>
  <colFields count="1">
    <field x="3"/>
  </colFields>
  <colItems count="3">
    <i>
      <x/>
    </i>
    <i>
      <x v="1"/>
    </i>
    <i t="grand">
      <x/>
    </i>
  </colItems>
  <dataFields count="1">
    <dataField name="Sum of Month"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59979E-8D1F-4187-8324-71D48B99EDD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14:D19" firstHeaderRow="1" firstDataRow="2" firstDataCol="1"/>
  <pivotFields count="25">
    <pivotField showAll="0"/>
    <pivotField numFmtId="14" showAll="0">
      <items count="40">
        <item x="29"/>
        <item x="35"/>
        <item x="22"/>
        <item x="20"/>
        <item x="31"/>
        <item x="18"/>
        <item x="8"/>
        <item x="21"/>
        <item x="26"/>
        <item x="14"/>
        <item x="27"/>
        <item x="36"/>
        <item x="1"/>
        <item x="16"/>
        <item x="34"/>
        <item x="37"/>
        <item x="5"/>
        <item x="10"/>
        <item x="28"/>
        <item x="11"/>
        <item x="2"/>
        <item x="3"/>
        <item x="6"/>
        <item x="4"/>
        <item x="0"/>
        <item x="19"/>
        <item x="32"/>
        <item x="25"/>
        <item x="9"/>
        <item x="24"/>
        <item x="7"/>
        <item x="12"/>
        <item x="23"/>
        <item x="13"/>
        <item x="15"/>
        <item x="38"/>
        <item x="17"/>
        <item x="33"/>
        <item x="30"/>
        <item t="default"/>
      </items>
    </pivotField>
    <pivotField showAll="0"/>
    <pivotField showAll="0">
      <items count="3">
        <item x="1"/>
        <item x="0"/>
        <item t="default"/>
      </items>
    </pivotField>
    <pivotField showAll="0"/>
    <pivotField showAll="0"/>
    <pivotField showAll="0">
      <items count="6">
        <item x="1"/>
        <item x="0"/>
        <item x="2"/>
        <item x="4"/>
        <item x="3"/>
        <item t="default"/>
      </items>
    </pivotField>
    <pivotField showAll="0">
      <items count="6">
        <item x="3"/>
        <item x="4"/>
        <item x="0"/>
        <item x="1"/>
        <item x="2"/>
        <item t="default"/>
      </items>
    </pivotField>
    <pivotField showAll="0">
      <items count="84">
        <item x="59"/>
        <item x="2"/>
        <item x="72"/>
        <item x="4"/>
        <item x="1"/>
        <item x="45"/>
        <item x="64"/>
        <item x="10"/>
        <item x="21"/>
        <item x="33"/>
        <item x="50"/>
        <item x="8"/>
        <item x="79"/>
        <item x="24"/>
        <item x="55"/>
        <item x="32"/>
        <item x="18"/>
        <item x="3"/>
        <item x="68"/>
        <item x="67"/>
        <item x="82"/>
        <item x="76"/>
        <item x="12"/>
        <item x="36"/>
        <item x="31"/>
        <item x="42"/>
        <item x="77"/>
        <item x="80"/>
        <item x="66"/>
        <item x="56"/>
        <item x="15"/>
        <item x="7"/>
        <item x="19"/>
        <item x="20"/>
        <item x="53"/>
        <item x="13"/>
        <item x="43"/>
        <item x="6"/>
        <item x="14"/>
        <item x="29"/>
        <item x="48"/>
        <item x="61"/>
        <item x="58"/>
        <item x="62"/>
        <item x="5"/>
        <item x="57"/>
        <item x="47"/>
        <item x="81"/>
        <item x="37"/>
        <item x="27"/>
        <item x="30"/>
        <item x="26"/>
        <item x="9"/>
        <item x="41"/>
        <item x="44"/>
        <item x="52"/>
        <item x="46"/>
        <item x="71"/>
        <item x="25"/>
        <item x="60"/>
        <item x="63"/>
        <item x="73"/>
        <item x="34"/>
        <item x="11"/>
        <item x="54"/>
        <item x="78"/>
        <item x="0"/>
        <item x="69"/>
        <item x="51"/>
        <item x="16"/>
        <item x="22"/>
        <item x="39"/>
        <item x="17"/>
        <item x="38"/>
        <item x="70"/>
        <item x="35"/>
        <item x="74"/>
        <item x="65"/>
        <item x="23"/>
        <item x="28"/>
        <item x="49"/>
        <item x="40"/>
        <item x="75"/>
        <item t="default"/>
      </items>
    </pivotField>
    <pivotField showAll="0"/>
    <pivotField showAll="0"/>
    <pivotField axis="axisCol" showAll="0">
      <items count="3">
        <item x="1"/>
        <item x="0"/>
        <item t="default"/>
      </items>
    </pivotField>
    <pivotField showAll="0">
      <items count="5">
        <item x="1"/>
        <item x="0"/>
        <item x="2"/>
        <item x="3"/>
        <item t="default"/>
      </items>
    </pivotField>
    <pivotField showAll="0">
      <items count="8">
        <item x="0"/>
        <item x="2"/>
        <item x="5"/>
        <item x="3"/>
        <item x="6"/>
        <item x="1"/>
        <item x="4"/>
        <item t="default"/>
      </items>
    </pivotField>
    <pivotField showAll="0"/>
    <pivotField showAll="0">
      <items count="43">
        <item x="31"/>
        <item x="3"/>
        <item x="37"/>
        <item x="25"/>
        <item x="7"/>
        <item x="12"/>
        <item x="28"/>
        <item x="2"/>
        <item x="18"/>
        <item x="4"/>
        <item x="36"/>
        <item x="9"/>
        <item x="41"/>
        <item x="20"/>
        <item x="24"/>
        <item x="39"/>
        <item x="40"/>
        <item x="34"/>
        <item x="10"/>
        <item x="0"/>
        <item x="5"/>
        <item x="14"/>
        <item x="27"/>
        <item x="32"/>
        <item x="29"/>
        <item x="30"/>
        <item x="33"/>
        <item x="8"/>
        <item x="35"/>
        <item x="13"/>
        <item x="26"/>
        <item x="16"/>
        <item x="23"/>
        <item x="15"/>
        <item x="1"/>
        <item x="22"/>
        <item x="6"/>
        <item x="21"/>
        <item x="38"/>
        <item x="19"/>
        <item x="11"/>
        <item x="17"/>
        <item t="default"/>
      </items>
    </pivotField>
    <pivotField showAll="0"/>
    <pivotField showAll="0"/>
    <pivotField axis="axisRow" showAll="0">
      <items count="4">
        <item x="0"/>
        <item x="1"/>
        <item x="2"/>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4">
    <i>
      <x/>
    </i>
    <i>
      <x v="1"/>
    </i>
    <i>
      <x v="2"/>
    </i>
    <i t="grand">
      <x/>
    </i>
  </rowItems>
  <colFields count="1">
    <field x="11"/>
  </colFields>
  <colItems count="3">
    <i>
      <x/>
    </i>
    <i>
      <x v="1"/>
    </i>
    <i t="grand">
      <x/>
    </i>
  </colItems>
  <dataFields count="1">
    <dataField name="Sum of Count" fld="22" baseField="0" baseItem="0"/>
  </dataFields>
  <chartFormats count="7">
    <chartFormat chart="26" format="6" series="1">
      <pivotArea type="data" outline="0" fieldPosition="0">
        <references count="2">
          <reference field="4294967294" count="1" selected="0">
            <x v="0"/>
          </reference>
          <reference field="18" count="1" selected="0">
            <x v="0"/>
          </reference>
        </references>
      </pivotArea>
    </chartFormat>
    <chartFormat chart="26" format="7" series="1">
      <pivotArea type="data" outline="0" fieldPosition="0">
        <references count="2">
          <reference field="4294967294" count="1" selected="0">
            <x v="0"/>
          </reference>
          <reference field="18" count="1" selected="0">
            <x v="1"/>
          </reference>
        </references>
      </pivotArea>
    </chartFormat>
    <chartFormat chart="26" format="8" series="1">
      <pivotArea type="data" outline="0" fieldPosition="0">
        <references count="2">
          <reference field="4294967294" count="1" selected="0">
            <x v="0"/>
          </reference>
          <reference field="18" count="1" selected="0">
            <x v="2"/>
          </reference>
        </references>
      </pivotArea>
    </chartFormat>
    <chartFormat chart="26" format="9" series="1">
      <pivotArea type="data" outline="0" fieldPosition="0">
        <references count="2">
          <reference field="4294967294" count="1" selected="0">
            <x v="0"/>
          </reference>
          <reference field="11" count="1" selected="0">
            <x v="1"/>
          </reference>
        </references>
      </pivotArea>
    </chartFormat>
    <chartFormat chart="26" format="10" series="1">
      <pivotArea type="data" outline="0" fieldPosition="0">
        <references count="2">
          <reference field="4294967294" count="1" selected="0">
            <x v="0"/>
          </reference>
          <reference field="11" count="1" selected="0">
            <x v="0"/>
          </reference>
        </references>
      </pivotArea>
    </chartFormat>
    <chartFormat chart="36" format="11" series="1">
      <pivotArea type="data" outline="0" fieldPosition="0">
        <references count="2">
          <reference field="4294967294" count="1" selected="0">
            <x v="0"/>
          </reference>
          <reference field="11" count="1" selected="0">
            <x v="0"/>
          </reference>
        </references>
      </pivotArea>
    </chartFormat>
    <chartFormat chart="36" format="12"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02BFC4-8946-452A-AF48-A45AA79D407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5" firstHeaderRow="1" firstDataRow="1" firstDataCol="1"/>
  <pivotFields count="25">
    <pivotField showAll="0"/>
    <pivotField numFmtId="14" showAll="0">
      <items count="40">
        <item x="29"/>
        <item x="35"/>
        <item x="22"/>
        <item x="20"/>
        <item x="31"/>
        <item x="18"/>
        <item x="8"/>
        <item x="21"/>
        <item x="26"/>
        <item x="14"/>
        <item x="27"/>
        <item x="36"/>
        <item x="1"/>
        <item x="16"/>
        <item x="34"/>
        <item x="37"/>
        <item x="5"/>
        <item x="10"/>
        <item x="28"/>
        <item x="11"/>
        <item x="2"/>
        <item x="3"/>
        <item x="6"/>
        <item x="4"/>
        <item x="0"/>
        <item x="19"/>
        <item x="32"/>
        <item x="25"/>
        <item x="9"/>
        <item x="24"/>
        <item x="7"/>
        <item x="12"/>
        <item x="23"/>
        <item x="13"/>
        <item x="15"/>
        <item x="38"/>
        <item x="17"/>
        <item x="33"/>
        <item x="30"/>
        <item t="default"/>
      </items>
    </pivotField>
    <pivotField showAll="0"/>
    <pivotField showAll="0">
      <items count="3">
        <item x="1"/>
        <item x="0"/>
        <item t="default"/>
      </items>
    </pivotField>
    <pivotField showAll="0"/>
    <pivotField showAll="0"/>
    <pivotField showAll="0"/>
    <pivotField showAll="0"/>
    <pivotField showAll="0">
      <items count="84">
        <item x="59"/>
        <item x="2"/>
        <item x="72"/>
        <item x="4"/>
        <item x="1"/>
        <item x="45"/>
        <item x="64"/>
        <item x="10"/>
        <item x="21"/>
        <item x="33"/>
        <item x="50"/>
        <item x="8"/>
        <item x="79"/>
        <item x="24"/>
        <item x="55"/>
        <item x="32"/>
        <item x="18"/>
        <item x="3"/>
        <item x="68"/>
        <item x="67"/>
        <item x="82"/>
        <item x="76"/>
        <item x="12"/>
        <item x="36"/>
        <item x="31"/>
        <item x="42"/>
        <item x="77"/>
        <item x="80"/>
        <item x="66"/>
        <item x="56"/>
        <item x="15"/>
        <item x="7"/>
        <item x="19"/>
        <item x="20"/>
        <item x="53"/>
        <item x="13"/>
        <item x="43"/>
        <item x="6"/>
        <item x="14"/>
        <item x="29"/>
        <item x="48"/>
        <item x="61"/>
        <item x="58"/>
        <item x="62"/>
        <item x="5"/>
        <item x="57"/>
        <item x="47"/>
        <item x="81"/>
        <item x="37"/>
        <item x="27"/>
        <item x="30"/>
        <item x="26"/>
        <item x="9"/>
        <item x="41"/>
        <item x="44"/>
        <item x="52"/>
        <item x="46"/>
        <item x="71"/>
        <item x="25"/>
        <item x="60"/>
        <item x="63"/>
        <item x="73"/>
        <item x="34"/>
        <item x="11"/>
        <item x="54"/>
        <item x="78"/>
        <item x="0"/>
        <item x="69"/>
        <item x="51"/>
        <item x="16"/>
        <item x="22"/>
        <item x="39"/>
        <item x="17"/>
        <item x="38"/>
        <item x="70"/>
        <item x="35"/>
        <item x="74"/>
        <item x="65"/>
        <item x="23"/>
        <item x="28"/>
        <item x="49"/>
        <item x="40"/>
        <item x="75"/>
        <item t="default"/>
      </items>
    </pivotField>
    <pivotField showAll="0"/>
    <pivotField showAll="0">
      <items count="3">
        <item x="0"/>
        <item x="1"/>
        <item t="default"/>
      </items>
    </pivotField>
    <pivotField showAll="0"/>
    <pivotField showAll="0"/>
    <pivotField showAll="0">
      <items count="8">
        <item x="0"/>
        <item x="2"/>
        <item x="5"/>
        <item x="3"/>
        <item x="6"/>
        <item x="1"/>
        <item x="4"/>
        <item t="default"/>
      </items>
    </pivotField>
    <pivotField showAll="0">
      <items count="21">
        <item x="15"/>
        <item x="13"/>
        <item x="4"/>
        <item x="2"/>
        <item x="5"/>
        <item x="12"/>
        <item x="19"/>
        <item x="6"/>
        <item x="9"/>
        <item x="0"/>
        <item x="10"/>
        <item x="17"/>
        <item x="16"/>
        <item x="18"/>
        <item x="14"/>
        <item x="8"/>
        <item x="1"/>
        <item x="11"/>
        <item x="3"/>
        <item x="7"/>
        <item t="default"/>
      </items>
    </pivotField>
    <pivotField showAll="0"/>
    <pivotField showAll="0"/>
    <pivotField showAll="0"/>
    <pivotField axis="axisRow" showAll="0">
      <items count="4">
        <item x="0"/>
        <item x="1"/>
        <item x="2"/>
        <item t="default"/>
      </items>
    </pivotField>
    <pivotField showAll="0"/>
    <pivotField showAll="0"/>
    <pivotField showAll="0">
      <items count="86">
        <item x="29"/>
        <item x="51"/>
        <item x="79"/>
        <item x="33"/>
        <item x="66"/>
        <item x="0"/>
        <item x="72"/>
        <item x="69"/>
        <item x="59"/>
        <item x="40"/>
        <item x="82"/>
        <item x="15"/>
        <item x="60"/>
        <item x="44"/>
        <item x="25"/>
        <item x="27"/>
        <item x="20"/>
        <item x="71"/>
        <item x="11"/>
        <item x="47"/>
        <item x="78"/>
        <item x="43"/>
        <item x="63"/>
        <item x="18"/>
        <item x="54"/>
        <item x="37"/>
        <item x="7"/>
        <item x="74"/>
        <item x="8"/>
        <item x="31"/>
        <item x="75"/>
        <item x="35"/>
        <item x="77"/>
        <item x="84"/>
        <item x="30"/>
        <item x="67"/>
        <item x="58"/>
        <item x="56"/>
        <item x="46"/>
        <item x="32"/>
        <item x="10"/>
        <item x="23"/>
        <item x="4"/>
        <item x="38"/>
        <item x="42"/>
        <item x="16"/>
        <item x="19"/>
        <item x="1"/>
        <item x="64"/>
        <item x="45"/>
        <item x="41"/>
        <item x="6"/>
        <item x="9"/>
        <item x="17"/>
        <item x="39"/>
        <item x="80"/>
        <item x="55"/>
        <item x="28"/>
        <item x="49"/>
        <item x="24"/>
        <item x="76"/>
        <item x="65"/>
        <item x="5"/>
        <item x="14"/>
        <item x="3"/>
        <item x="12"/>
        <item x="73"/>
        <item x="22"/>
        <item x="48"/>
        <item x="62"/>
        <item x="57"/>
        <item x="34"/>
        <item x="21"/>
        <item x="83"/>
        <item x="36"/>
        <item x="26"/>
        <item x="50"/>
        <item x="68"/>
        <item x="61"/>
        <item x="53"/>
        <item x="13"/>
        <item x="2"/>
        <item x="52"/>
        <item x="81"/>
        <item x="7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4">
    <i>
      <x/>
    </i>
    <i>
      <x v="1"/>
    </i>
    <i>
      <x v="2"/>
    </i>
    <i t="grand">
      <x/>
    </i>
  </rowItems>
  <colItems count="1">
    <i/>
  </colItems>
  <dataFields count="1">
    <dataField name="Sum of Count" fld="22" baseField="0" baseItem="0"/>
  </dataFields>
  <chartFormats count="8">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8" count="1" selected="0">
            <x v="0"/>
          </reference>
        </references>
      </pivotArea>
    </chartFormat>
    <chartFormat chart="7" format="10">
      <pivotArea type="data" outline="0" fieldPosition="0">
        <references count="2">
          <reference field="4294967294" count="1" selected="0">
            <x v="0"/>
          </reference>
          <reference field="18" count="1" selected="0">
            <x v="1"/>
          </reference>
        </references>
      </pivotArea>
    </chartFormat>
    <chartFormat chart="7" format="11">
      <pivotArea type="data" outline="0" fieldPosition="0">
        <references count="2">
          <reference field="4294967294" count="1" selected="0">
            <x v="0"/>
          </reference>
          <reference field="18"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8" count="1" selected="0">
            <x v="0"/>
          </reference>
        </references>
      </pivotArea>
    </chartFormat>
    <chartFormat chart="12" format="18">
      <pivotArea type="data" outline="0" fieldPosition="0">
        <references count="2">
          <reference field="4294967294" count="1" selected="0">
            <x v="0"/>
          </reference>
          <reference field="18" count="1" selected="0">
            <x v="1"/>
          </reference>
        </references>
      </pivotArea>
    </chartFormat>
    <chartFormat chart="12" format="19">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D59227-4184-477D-99E7-016F89DE78E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G6" firstHeaderRow="1" firstDataRow="2" firstDataCol="1"/>
  <pivotFields count="25">
    <pivotField showAll="0"/>
    <pivotField numFmtId="14" showAll="0">
      <items count="40">
        <item x="29"/>
        <item x="35"/>
        <item x="22"/>
        <item x="20"/>
        <item x="31"/>
        <item x="18"/>
        <item x="8"/>
        <item x="21"/>
        <item x="26"/>
        <item x="14"/>
        <item x="27"/>
        <item x="36"/>
        <item x="1"/>
        <item x="16"/>
        <item x="34"/>
        <item x="37"/>
        <item x="5"/>
        <item x="10"/>
        <item x="28"/>
        <item x="11"/>
        <item x="2"/>
        <item x="3"/>
        <item x="6"/>
        <item x="4"/>
        <item x="0"/>
        <item x="19"/>
        <item x="32"/>
        <item x="25"/>
        <item x="9"/>
        <item x="24"/>
        <item x="7"/>
        <item x="12"/>
        <item x="23"/>
        <item x="13"/>
        <item x="15"/>
        <item x="38"/>
        <item x="17"/>
        <item x="33"/>
        <item x="30"/>
        <item t="default"/>
      </items>
    </pivotField>
    <pivotField showAll="0"/>
    <pivotField axis="axisCol" dataField="1" showAll="0">
      <items count="3">
        <item n="Jan" x="1"/>
        <item n="Feb" x="0"/>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3">
    <i>
      <x/>
    </i>
    <i>
      <x v="1"/>
    </i>
    <i t="grand">
      <x/>
    </i>
  </rowItems>
  <colFields count="1">
    <field x="3"/>
  </colFields>
  <colItems count="3">
    <i>
      <x/>
    </i>
    <i>
      <x v="1"/>
    </i>
    <i t="grand">
      <x/>
    </i>
  </colItems>
  <dataFields count="1">
    <dataField name="Sum of Month"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BC36AB-3562-4B7C-8C30-013CF38A096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6:D25" firstHeaderRow="1" firstDataRow="2" firstDataCol="1"/>
  <pivotFields count="25">
    <pivotField showAll="0"/>
    <pivotField numFmtId="14" showAll="0">
      <items count="40">
        <item x="29"/>
        <item x="35"/>
        <item x="22"/>
        <item x="20"/>
        <item x="31"/>
        <item x="18"/>
        <item x="8"/>
        <item x="21"/>
        <item x="26"/>
        <item x="14"/>
        <item x="27"/>
        <item x="36"/>
        <item x="1"/>
        <item x="16"/>
        <item x="34"/>
        <item x="37"/>
        <item x="5"/>
        <item x="10"/>
        <item x="28"/>
        <item x="11"/>
        <item x="2"/>
        <item x="3"/>
        <item x="6"/>
        <item x="4"/>
        <item x="0"/>
        <item x="19"/>
        <item x="32"/>
        <item x="25"/>
        <item x="9"/>
        <item x="24"/>
        <item x="7"/>
        <item x="12"/>
        <item x="23"/>
        <item x="13"/>
        <item x="15"/>
        <item x="38"/>
        <item x="17"/>
        <item x="33"/>
        <item x="30"/>
        <item t="default"/>
      </items>
    </pivotField>
    <pivotField showAll="0"/>
    <pivotField axis="axisCol" dataField="1" showAll="0">
      <items count="3">
        <item n="Jan" x="1"/>
        <item n="Feb" x="0"/>
        <item t="default"/>
      </items>
    </pivotField>
    <pivotField showAll="0"/>
    <pivotField showAll="0"/>
    <pivotField showAll="0"/>
    <pivotField showAll="0"/>
    <pivotField showAll="0"/>
    <pivotField showAll="0"/>
    <pivotField showAll="0"/>
    <pivotField showAll="0"/>
    <pivotField showAll="0"/>
    <pivotField axis="axisRow" showAll="0">
      <items count="8">
        <item x="0"/>
        <item x="2"/>
        <item x="5"/>
        <item x="3"/>
        <item x="6"/>
        <item x="1"/>
        <item x="4"/>
        <item t="default"/>
      </items>
    </pivotField>
    <pivotField showAll="0">
      <items count="21">
        <item x="15"/>
        <item x="13"/>
        <item x="4"/>
        <item x="2"/>
        <item x="5"/>
        <item x="12"/>
        <item x="19"/>
        <item x="6"/>
        <item x="9"/>
        <item x="0"/>
        <item x="10"/>
        <item x="17"/>
        <item x="16"/>
        <item x="18"/>
        <item x="14"/>
        <item x="8"/>
        <item x="1"/>
        <item x="11"/>
        <item x="3"/>
        <item x="7"/>
        <item t="default"/>
      </items>
    </pivotField>
    <pivotField showAll="0"/>
    <pivotField showAll="0">
      <items count="66">
        <item x="48"/>
        <item x="2"/>
        <item x="4"/>
        <item x="1"/>
        <item x="38"/>
        <item x="10"/>
        <item x="21"/>
        <item x="8"/>
        <item x="61"/>
        <item x="23"/>
        <item x="44"/>
        <item x="31"/>
        <item x="18"/>
        <item x="3"/>
        <item x="56"/>
        <item x="55"/>
        <item x="64"/>
        <item x="59"/>
        <item x="12"/>
        <item x="33"/>
        <item x="30"/>
        <item x="37"/>
        <item x="60"/>
        <item x="62"/>
        <item x="54"/>
        <item x="45"/>
        <item x="15"/>
        <item x="7"/>
        <item x="19"/>
        <item x="20"/>
        <item x="42"/>
        <item x="13"/>
        <item x="6"/>
        <item x="14"/>
        <item x="28"/>
        <item x="40"/>
        <item x="50"/>
        <item x="47"/>
        <item x="51"/>
        <item x="5"/>
        <item x="46"/>
        <item x="39"/>
        <item x="63"/>
        <item x="34"/>
        <item x="26"/>
        <item x="29"/>
        <item x="25"/>
        <item x="9"/>
        <item x="36"/>
        <item x="24"/>
        <item x="49"/>
        <item x="52"/>
        <item x="32"/>
        <item x="11"/>
        <item x="43"/>
        <item x="0"/>
        <item x="57"/>
        <item x="41"/>
        <item x="16"/>
        <item x="17"/>
        <item x="53"/>
        <item x="22"/>
        <item x="27"/>
        <item x="35"/>
        <item x="58"/>
        <item t="default"/>
      </items>
    </pivotField>
    <pivotField showAll="0"/>
    <pivotField showAll="0">
      <items count="4">
        <item x="0"/>
        <item x="1"/>
        <item x="2"/>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8">
    <i>
      <x/>
    </i>
    <i>
      <x v="1"/>
    </i>
    <i>
      <x v="2"/>
    </i>
    <i>
      <x v="3"/>
    </i>
    <i>
      <x v="4"/>
    </i>
    <i>
      <x v="5"/>
    </i>
    <i>
      <x v="6"/>
    </i>
    <i t="grand">
      <x/>
    </i>
  </rowItems>
  <colFields count="1">
    <field x="3"/>
  </colFields>
  <colItems count="3">
    <i>
      <x/>
    </i>
    <i>
      <x v="1"/>
    </i>
    <i t="grand">
      <x/>
    </i>
  </colItems>
  <dataFields count="1">
    <dataField name="Sum of Month" fld="3" baseField="0" baseItem="0"/>
  </dataFields>
  <chartFormats count="16">
    <chartFormat chart="6" format="5" series="1">
      <pivotArea type="data" outline="0" fieldPosition="0">
        <references count="2">
          <reference field="4294967294" count="1" selected="0">
            <x v="0"/>
          </reference>
          <reference field="3" count="1" selected="0">
            <x v="0"/>
          </reference>
        </references>
      </pivotArea>
    </chartFormat>
    <chartFormat chart="6" format="6" series="1">
      <pivotArea type="data" outline="0" fieldPosition="0">
        <references count="2">
          <reference field="4294967294" count="1" selected="0">
            <x v="0"/>
          </reference>
          <reference field="3" count="1" selected="0">
            <x v="1"/>
          </reference>
        </references>
      </pivotArea>
    </chartFormat>
    <chartFormat chart="6" format="7"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4"/>
          </reference>
        </references>
      </pivotArea>
    </chartFormat>
    <chartFormat chart="6" format="9" series="1">
      <pivotArea type="data" outline="0" fieldPosition="0">
        <references count="2">
          <reference field="4294967294" count="1" selected="0">
            <x v="0"/>
          </reference>
          <reference field="13" count="1" selected="0">
            <x v="5"/>
          </reference>
        </references>
      </pivotArea>
    </chartFormat>
    <chartFormat chart="6" format="10" series="1">
      <pivotArea type="data" outline="0" fieldPosition="0">
        <references count="2">
          <reference field="4294967294" count="1" selected="0">
            <x v="0"/>
          </reference>
          <reference field="13" count="1" selected="0">
            <x v="6"/>
          </reference>
        </references>
      </pivotArea>
    </chartFormat>
    <chartFormat chart="6" format="11" series="1">
      <pivotArea type="data" outline="0" fieldPosition="0">
        <references count="2">
          <reference field="4294967294" count="1" selected="0">
            <x v="0"/>
          </reference>
          <reference field="13" count="1" selected="0">
            <x v="1"/>
          </reference>
        </references>
      </pivotArea>
    </chartFormat>
    <chartFormat chart="6" format="12" series="1">
      <pivotArea type="data" outline="0" fieldPosition="0">
        <references count="2">
          <reference field="4294967294" count="1" selected="0">
            <x v="0"/>
          </reference>
          <reference field="13" count="1" selected="0">
            <x v="2"/>
          </reference>
        </references>
      </pivotArea>
    </chartFormat>
    <chartFormat chart="6" format="13">
      <pivotArea type="data" outline="0" fieldPosition="0">
        <references count="3">
          <reference field="4294967294" count="1" selected="0">
            <x v="0"/>
          </reference>
          <reference field="3" count="1" selected="0">
            <x v="0"/>
          </reference>
          <reference field="13" count="1" selected="0">
            <x v="1"/>
          </reference>
        </references>
      </pivotArea>
    </chartFormat>
    <chartFormat chart="6" format="14">
      <pivotArea type="data" outline="0" fieldPosition="0">
        <references count="3">
          <reference field="4294967294" count="1" selected="0">
            <x v="0"/>
          </reference>
          <reference field="3" count="1" selected="0">
            <x v="0"/>
          </reference>
          <reference field="13" count="1" selected="0">
            <x v="2"/>
          </reference>
        </references>
      </pivotArea>
    </chartFormat>
    <chartFormat chart="6" format="15">
      <pivotArea type="data" outline="0" fieldPosition="0">
        <references count="3">
          <reference field="4294967294" count="1" selected="0">
            <x v="0"/>
          </reference>
          <reference field="3" count="1" selected="0">
            <x v="0"/>
          </reference>
          <reference field="13" count="1" selected="0">
            <x v="3"/>
          </reference>
        </references>
      </pivotArea>
    </chartFormat>
    <chartFormat chart="6" format="16">
      <pivotArea type="data" outline="0" fieldPosition="0">
        <references count="3">
          <reference field="4294967294" count="1" selected="0">
            <x v="0"/>
          </reference>
          <reference field="3" count="1" selected="0">
            <x v="0"/>
          </reference>
          <reference field="13" count="1" selected="0">
            <x v="4"/>
          </reference>
        </references>
      </pivotArea>
    </chartFormat>
    <chartFormat chart="6" format="17">
      <pivotArea type="data" outline="0" fieldPosition="0">
        <references count="3">
          <reference field="4294967294" count="1" selected="0">
            <x v="0"/>
          </reference>
          <reference field="3" count="1" selected="0">
            <x v="0"/>
          </reference>
          <reference field="13" count="1" selected="0">
            <x v="5"/>
          </reference>
        </references>
      </pivotArea>
    </chartFormat>
    <chartFormat chart="6" format="18">
      <pivotArea type="data" outline="0" fieldPosition="0">
        <references count="3">
          <reference field="4294967294" count="1" selected="0">
            <x v="0"/>
          </reference>
          <reference field="3" count="1" selected="0">
            <x v="0"/>
          </reference>
          <reference field="13" count="1" selected="0">
            <x v="6"/>
          </reference>
        </references>
      </pivotArea>
    </chartFormat>
    <chartFormat chart="15" format="21" series="1">
      <pivotArea type="data" outline="0" fieldPosition="0">
        <references count="2">
          <reference field="4294967294" count="1" selected="0">
            <x v="0"/>
          </reference>
          <reference field="3" count="1" selected="0">
            <x v="0"/>
          </reference>
        </references>
      </pivotArea>
    </chartFormat>
    <chartFormat chart="15" format="22"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D302B5-1E8D-4620-8A49-47D766D19BC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E11" firstHeaderRow="1" firstDataRow="2" firstDataCol="1"/>
  <pivotFields count="25">
    <pivotField showAll="0"/>
    <pivotField numFmtId="14" showAll="0">
      <items count="40">
        <item x="29"/>
        <item x="35"/>
        <item x="22"/>
        <item x="20"/>
        <item x="31"/>
        <item x="18"/>
        <item x="8"/>
        <item x="21"/>
        <item x="26"/>
        <item x="14"/>
        <item x="27"/>
        <item x="36"/>
        <item x="1"/>
        <item x="16"/>
        <item x="34"/>
        <item x="37"/>
        <item x="5"/>
        <item x="10"/>
        <item x="28"/>
        <item x="11"/>
        <item x="2"/>
        <item x="3"/>
        <item x="6"/>
        <item x="4"/>
        <item x="0"/>
        <item x="19"/>
        <item x="32"/>
        <item x="25"/>
        <item x="9"/>
        <item x="24"/>
        <item x="7"/>
        <item x="12"/>
        <item x="23"/>
        <item x="13"/>
        <item x="15"/>
        <item x="38"/>
        <item x="17"/>
        <item x="33"/>
        <item x="3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8">
        <item x="0"/>
        <item x="2"/>
        <item x="5"/>
        <item x="3"/>
        <item x="6"/>
        <item x="1"/>
        <item x="4"/>
        <item t="default"/>
      </items>
    </pivotField>
    <pivotField showAll="0">
      <items count="21">
        <item x="15"/>
        <item x="13"/>
        <item x="4"/>
        <item x="2"/>
        <item x="5"/>
        <item x="12"/>
        <item x="19"/>
        <item x="6"/>
        <item x="9"/>
        <item x="0"/>
        <item x="10"/>
        <item x="17"/>
        <item x="16"/>
        <item x="18"/>
        <item x="14"/>
        <item x="8"/>
        <item x="1"/>
        <item x="11"/>
        <item x="3"/>
        <item x="7"/>
        <item t="default"/>
      </items>
    </pivotField>
    <pivotField showAll="0">
      <items count="43">
        <item x="31"/>
        <item x="3"/>
        <item x="37"/>
        <item x="25"/>
        <item x="7"/>
        <item x="12"/>
        <item x="28"/>
        <item x="2"/>
        <item x="18"/>
        <item x="4"/>
        <item x="36"/>
        <item x="9"/>
        <item x="41"/>
        <item x="20"/>
        <item x="24"/>
        <item x="39"/>
        <item x="40"/>
        <item x="34"/>
        <item x="10"/>
        <item x="0"/>
        <item x="5"/>
        <item x="14"/>
        <item x="27"/>
        <item x="32"/>
        <item x="29"/>
        <item x="30"/>
        <item x="33"/>
        <item x="8"/>
        <item x="35"/>
        <item x="13"/>
        <item x="26"/>
        <item x="16"/>
        <item x="23"/>
        <item x="15"/>
        <item x="1"/>
        <item x="22"/>
        <item x="6"/>
        <item x="21"/>
        <item x="38"/>
        <item x="19"/>
        <item x="11"/>
        <item x="17"/>
        <item t="default"/>
      </items>
    </pivotField>
    <pivotField showAll="0">
      <items count="66">
        <item x="48"/>
        <item x="2"/>
        <item x="4"/>
        <item x="1"/>
        <item x="38"/>
        <item x="10"/>
        <item x="21"/>
        <item x="8"/>
        <item x="61"/>
        <item x="23"/>
        <item x="44"/>
        <item x="31"/>
        <item x="18"/>
        <item x="3"/>
        <item x="56"/>
        <item x="55"/>
        <item x="64"/>
        <item x="59"/>
        <item x="12"/>
        <item x="33"/>
        <item x="30"/>
        <item x="37"/>
        <item x="60"/>
        <item x="62"/>
        <item x="54"/>
        <item x="45"/>
        <item x="15"/>
        <item x="7"/>
        <item x="19"/>
        <item x="20"/>
        <item x="42"/>
        <item x="13"/>
        <item x="6"/>
        <item x="14"/>
        <item x="28"/>
        <item x="40"/>
        <item x="50"/>
        <item x="47"/>
        <item x="51"/>
        <item x="5"/>
        <item x="46"/>
        <item x="39"/>
        <item x="63"/>
        <item x="34"/>
        <item x="26"/>
        <item x="29"/>
        <item x="25"/>
        <item x="9"/>
        <item x="36"/>
        <item x="24"/>
        <item x="49"/>
        <item x="52"/>
        <item x="32"/>
        <item x="11"/>
        <item x="43"/>
        <item x="0"/>
        <item x="57"/>
        <item x="41"/>
        <item x="16"/>
        <item x="17"/>
        <item x="53"/>
        <item x="22"/>
        <item x="27"/>
        <item x="35"/>
        <item x="58"/>
        <item t="default"/>
      </items>
    </pivotField>
    <pivotField showAll="0"/>
    <pivotField axis="axisCol" showAll="0">
      <items count="4">
        <item x="0"/>
        <item x="1"/>
        <item x="2"/>
        <item t="default"/>
      </items>
    </pivotField>
    <pivotField showAll="0">
      <items count="23">
        <item x="21"/>
        <item x="11"/>
        <item x="0"/>
        <item x="15"/>
        <item x="14"/>
        <item x="17"/>
        <item x="19"/>
        <item x="8"/>
        <item x="7"/>
        <item x="16"/>
        <item x="1"/>
        <item x="4"/>
        <item x="6"/>
        <item x="18"/>
        <item x="13"/>
        <item x="12"/>
        <item x="20"/>
        <item x="5"/>
        <item x="3"/>
        <item x="9"/>
        <item x="10"/>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8">
    <i>
      <x/>
    </i>
    <i>
      <x v="1"/>
    </i>
    <i>
      <x v="2"/>
    </i>
    <i>
      <x v="3"/>
    </i>
    <i>
      <x v="4"/>
    </i>
    <i>
      <x v="5"/>
    </i>
    <i>
      <x v="6"/>
    </i>
    <i t="grand">
      <x/>
    </i>
  </rowItems>
  <colFields count="1">
    <field x="18"/>
  </colFields>
  <colItems count="4">
    <i>
      <x/>
    </i>
    <i>
      <x v="1"/>
    </i>
    <i>
      <x v="2"/>
    </i>
    <i t="grand">
      <x/>
    </i>
  </colItems>
  <dataFields count="1">
    <dataField name="Sum of Count" fld="22" baseField="0" baseItem="0"/>
  </dataFields>
  <chartFormats count="10">
    <chartFormat chart="9" format="96" series="1">
      <pivotArea type="data" outline="0" fieldPosition="0">
        <references count="1">
          <reference field="4294967294" count="1" selected="0">
            <x v="0"/>
          </reference>
        </references>
      </pivotArea>
    </chartFormat>
    <chartFormat chart="9" format="97" series="1">
      <pivotArea type="data" outline="0" fieldPosition="0">
        <references count="2">
          <reference field="4294967294" count="1" selected="0">
            <x v="0"/>
          </reference>
          <reference field="18" count="1" selected="0">
            <x v="1"/>
          </reference>
        </references>
      </pivotArea>
    </chartFormat>
    <chartFormat chart="9" format="98" series="1">
      <pivotArea type="data" outline="0" fieldPosition="0">
        <references count="2">
          <reference field="4294967294" count="1" selected="0">
            <x v="0"/>
          </reference>
          <reference field="18" count="1" selected="0">
            <x v="2"/>
          </reference>
        </references>
      </pivotArea>
    </chartFormat>
    <chartFormat chart="9" format="99" series="1">
      <pivotArea type="data" outline="0" fieldPosition="0">
        <references count="2">
          <reference field="4294967294" count="1" selected="0">
            <x v="0"/>
          </reference>
          <reference field="18" count="1" selected="0">
            <x v="0"/>
          </reference>
        </references>
      </pivotArea>
    </chartFormat>
    <chartFormat chart="21" format="100" series="1">
      <pivotArea type="data" outline="0" fieldPosition="0">
        <references count="2">
          <reference field="4294967294" count="1" selected="0">
            <x v="0"/>
          </reference>
          <reference field="18" count="1" selected="0">
            <x v="0"/>
          </reference>
        </references>
      </pivotArea>
    </chartFormat>
    <chartFormat chart="21" format="101" series="1">
      <pivotArea type="data" outline="0" fieldPosition="0">
        <references count="2">
          <reference field="4294967294" count="1" selected="0">
            <x v="0"/>
          </reference>
          <reference field="18" count="1" selected="0">
            <x v="1"/>
          </reference>
        </references>
      </pivotArea>
    </chartFormat>
    <chartFormat chart="21" format="102" series="1">
      <pivotArea type="data" outline="0" fieldPosition="0">
        <references count="2">
          <reference field="4294967294" count="1" selected="0">
            <x v="0"/>
          </reference>
          <reference field="18" count="1" selected="0">
            <x v="2"/>
          </reference>
        </references>
      </pivotArea>
    </chartFormat>
    <chartFormat chart="22" format="103" series="1">
      <pivotArea type="data" outline="0" fieldPosition="0">
        <references count="2">
          <reference field="4294967294" count="1" selected="0">
            <x v="0"/>
          </reference>
          <reference field="18" count="1" selected="0">
            <x v="0"/>
          </reference>
        </references>
      </pivotArea>
    </chartFormat>
    <chartFormat chart="22" format="104" series="1">
      <pivotArea type="data" outline="0" fieldPosition="0">
        <references count="2">
          <reference field="4294967294" count="1" selected="0">
            <x v="0"/>
          </reference>
          <reference field="18" count="1" selected="0">
            <x v="1"/>
          </reference>
        </references>
      </pivotArea>
    </chartFormat>
    <chartFormat chart="22" format="105"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SGR_100km" xr10:uid="{870F9C1C-F1B1-4618-9C49-9C9F3326C81A}" sourceName="OSGR 100km">
  <pivotTables>
    <pivotTable tabId="5" name="PivotTable3"/>
    <pivotTable tabId="4" name="PivotTable4"/>
    <pivotTable tabId="4" name="PivotTable5"/>
    <pivotTable tabId="5" name="PivotTable2"/>
    <pivotTable tabId="6" name="PivotTable9"/>
  </pivotTables>
  <data>
    <tabular pivotCacheId="42301122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11C2068F-6690-4D1B-B9AB-0D8E81A35543}" sourceName="Class">
  <pivotTables>
    <pivotTable tabId="4" name="PivotTable5"/>
    <pivotTable tabId="4" name="PivotTable4"/>
    <pivotTable tabId="5" name="PivotTable2"/>
    <pivotTable tabId="5" name="PivotTable3"/>
    <pivotTable tabId="6" name="PivotTable9"/>
  </pivotTables>
  <data>
    <tabular pivotCacheId="423011229">
      <items count="7">
        <i x="0" s="1"/>
        <i x="2" s="1"/>
        <i x="5" s="1"/>
        <i x="3" s="1"/>
        <i x="6"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75E7827-EF10-48A7-88A6-4F5EBC9C3790}" sourceName="Month">
  <pivotTables>
    <pivotTable tabId="4" name="PivotTable5"/>
    <pivotTable tabId="4" name="PivotTable4"/>
    <pivotTable tabId="5" name="PivotTable2"/>
    <pivotTable tabId="5" name="PivotTable3"/>
    <pivotTable tabId="6" name="PivotTable9"/>
  </pivotTables>
  <data>
    <tabular pivotCacheId="42301122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C66171FD-C173-4E34-B832-256B7C6A644D}" cache="Slicer_OSGR_100km" caption="Area" rowHeight="247650"/>
  <slicer name="Class 1" xr10:uid="{44CD3BBA-B20B-4EE7-B8BB-08FBD9284878}" cache="Slicer_Class" caption="Class" rowHeight="247650"/>
  <slicer name="Month 1" xr10:uid="{B123DA52-45BE-4AB5-8498-00830059887C}" cache="Slicer_Month" caption="Month"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C6393-CBFA-47A2-89DF-90014A3B0373}">
  <dimension ref="W1:X23"/>
  <sheetViews>
    <sheetView zoomScale="90" zoomScaleNormal="90" workbookViewId="0">
      <selection activeCell="Y10" sqref="Y10"/>
    </sheetView>
  </sheetViews>
  <sheetFormatPr defaultRowHeight="14.4" x14ac:dyDescent="0.3"/>
  <cols>
    <col min="23" max="23" width="17.77734375" bestFit="1" customWidth="1"/>
    <col min="24" max="24" width="10.33203125" bestFit="1" customWidth="1"/>
  </cols>
  <sheetData>
    <row r="1" spans="23:24" s="5" customFormat="1" ht="21" x14ac:dyDescent="0.4">
      <c r="W1" s="19" t="s">
        <v>13</v>
      </c>
      <c r="X1" s="21" t="s">
        <v>757</v>
      </c>
    </row>
    <row r="2" spans="23:24" x14ac:dyDescent="0.3">
      <c r="W2" s="20"/>
      <c r="X2" s="22"/>
    </row>
    <row r="3" spans="23:24" x14ac:dyDescent="0.3">
      <c r="W3" s="13" t="s">
        <v>31</v>
      </c>
      <c r="X3" s="14">
        <v>157</v>
      </c>
    </row>
    <row r="4" spans="23:24" x14ac:dyDescent="0.3">
      <c r="W4" s="13" t="s">
        <v>58</v>
      </c>
      <c r="X4" s="14">
        <v>21</v>
      </c>
    </row>
    <row r="5" spans="23:24" x14ac:dyDescent="0.3">
      <c r="W5" s="13" t="s">
        <v>272</v>
      </c>
      <c r="X5" s="14">
        <v>13</v>
      </c>
    </row>
    <row r="6" spans="23:24" x14ac:dyDescent="0.3">
      <c r="W6" s="13" t="s">
        <v>88</v>
      </c>
      <c r="X6" s="14">
        <v>-1</v>
      </c>
    </row>
    <row r="7" spans="23:24" x14ac:dyDescent="0.3">
      <c r="W7" s="13" t="s">
        <v>520</v>
      </c>
      <c r="X7" s="14">
        <v>7</v>
      </c>
    </row>
    <row r="8" spans="23:24" x14ac:dyDescent="0.3">
      <c r="W8" s="13" t="s">
        <v>42</v>
      </c>
      <c r="X8" s="14">
        <v>8</v>
      </c>
    </row>
    <row r="9" spans="23:24" ht="15" thickBot="1" x14ac:dyDescent="0.35">
      <c r="W9" s="15" t="s">
        <v>174</v>
      </c>
      <c r="X9" s="16">
        <v>-7</v>
      </c>
    </row>
    <row r="10" spans="23:24" x14ac:dyDescent="0.3">
      <c r="W10" s="10"/>
      <c r="X10" s="11"/>
    </row>
    <row r="11" spans="23:24" ht="15" thickBot="1" x14ac:dyDescent="0.35">
      <c r="W11" s="9"/>
      <c r="X11" s="7"/>
    </row>
    <row r="12" spans="23:24" x14ac:dyDescent="0.3">
      <c r="W12" s="19" t="s">
        <v>756</v>
      </c>
      <c r="X12" s="21" t="s">
        <v>757</v>
      </c>
    </row>
    <row r="13" spans="23:24" x14ac:dyDescent="0.3">
      <c r="W13" s="20"/>
      <c r="X13" s="22"/>
    </row>
    <row r="14" spans="23:24" x14ac:dyDescent="0.3">
      <c r="W14" s="17" t="s">
        <v>36</v>
      </c>
      <c r="X14" s="14">
        <v>20</v>
      </c>
    </row>
    <row r="15" spans="23:24" x14ac:dyDescent="0.3">
      <c r="W15" s="17" t="s">
        <v>47</v>
      </c>
      <c r="X15" s="14">
        <v>61</v>
      </c>
    </row>
    <row r="16" spans="23:24" ht="15" thickBot="1" x14ac:dyDescent="0.35">
      <c r="W16" s="18" t="s">
        <v>63</v>
      </c>
      <c r="X16" s="16">
        <v>117</v>
      </c>
    </row>
    <row r="17" spans="23:24" x14ac:dyDescent="0.3">
      <c r="W17" s="12"/>
      <c r="X17" s="11"/>
    </row>
    <row r="18" spans="23:24" ht="15" thickBot="1" x14ac:dyDescent="0.35">
      <c r="X18" s="7"/>
    </row>
    <row r="19" spans="23:24" x14ac:dyDescent="0.3">
      <c r="W19" s="19" t="s">
        <v>11</v>
      </c>
      <c r="X19" s="21" t="s">
        <v>757</v>
      </c>
    </row>
    <row r="20" spans="23:24" x14ac:dyDescent="0.3">
      <c r="W20" s="20"/>
      <c r="X20" s="22"/>
    </row>
    <row r="21" spans="23:24" x14ac:dyDescent="0.3">
      <c r="W21" s="17" t="s">
        <v>56</v>
      </c>
      <c r="X21" s="14">
        <v>20</v>
      </c>
    </row>
    <row r="22" spans="23:24" ht="15" thickBot="1" x14ac:dyDescent="0.35">
      <c r="W22" s="18" t="s">
        <v>29</v>
      </c>
      <c r="X22" s="16">
        <v>178</v>
      </c>
    </row>
    <row r="23" spans="23:24" x14ac:dyDescent="0.3">
      <c r="W23" s="12"/>
      <c r="X23" s="11"/>
    </row>
  </sheetData>
  <mergeCells count="6">
    <mergeCell ref="W1:W2"/>
    <mergeCell ref="X1:X2"/>
    <mergeCell ref="W12:W13"/>
    <mergeCell ref="X12:X13"/>
    <mergeCell ref="W19:W20"/>
    <mergeCell ref="X19:X20"/>
  </mergeCells>
  <conditionalFormatting sqref="X1 X3:X10">
    <cfRule type="cellIs" dxfId="28" priority="13" operator="lessThan">
      <formula>0</formula>
    </cfRule>
    <cfRule type="cellIs" dxfId="27" priority="14" operator="greaterThan">
      <formula>0</formula>
    </cfRule>
    <cfRule type="cellIs" dxfId="26" priority="15" operator="lessThanOrEqual">
      <formula>0</formula>
    </cfRule>
  </conditionalFormatting>
  <conditionalFormatting sqref="X12">
    <cfRule type="cellIs" dxfId="25" priority="7" operator="lessThan">
      <formula>0</formula>
    </cfRule>
    <cfRule type="cellIs" dxfId="24" priority="8" operator="greaterThan">
      <formula>0</formula>
    </cfRule>
    <cfRule type="cellIs" dxfId="23" priority="9" operator="lessThanOrEqual">
      <formula>0</formula>
    </cfRule>
    <cfRule type="cellIs" dxfId="22" priority="10" operator="greaterThan">
      <formula>0</formula>
    </cfRule>
  </conditionalFormatting>
  <conditionalFormatting sqref="X14:X17 X21:X23">
    <cfRule type="cellIs" dxfId="21" priority="11" operator="lessThan">
      <formula>0</formula>
    </cfRule>
    <cfRule type="cellIs" dxfId="20" priority="12" operator="greaterThan">
      <formula>0</formula>
    </cfRule>
  </conditionalFormatting>
  <conditionalFormatting sqref="X19">
    <cfRule type="cellIs" dxfId="19" priority="1" operator="lessThan">
      <formula>0</formula>
    </cfRule>
    <cfRule type="cellIs" dxfId="18" priority="2" operator="greaterThan">
      <formula>0</formula>
    </cfRule>
    <cfRule type="cellIs" dxfId="17" priority="3" operator="lessThanOrEqual">
      <formula>0</formula>
    </cfRule>
    <cfRule type="cellIs" dxfId="16" priority="4" operator="greaterThan">
      <formula>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29D0-440E-486D-BEE6-8A649EE849F5}">
  <dimension ref="A3:B6"/>
  <sheetViews>
    <sheetView zoomScale="112" zoomScaleNormal="112" workbookViewId="0">
      <selection activeCell="A14" sqref="A14:D23"/>
    </sheetView>
  </sheetViews>
  <sheetFormatPr defaultRowHeight="14.4" x14ac:dyDescent="0.3"/>
  <cols>
    <col min="1" max="1" width="12.6640625" bestFit="1" customWidth="1"/>
    <col min="2" max="2" width="12.5546875" bestFit="1" customWidth="1"/>
    <col min="3" max="3" width="4.21875" bestFit="1" customWidth="1"/>
    <col min="4" max="4" width="10.77734375" bestFit="1" customWidth="1"/>
    <col min="5" max="5" width="5.44140625" bestFit="1" customWidth="1"/>
    <col min="6" max="6" width="61.5546875" bestFit="1" customWidth="1"/>
    <col min="7" max="7" width="15.88671875" bestFit="1" customWidth="1"/>
    <col min="8" max="9" width="4.21875" bestFit="1" customWidth="1"/>
    <col min="10" max="10" width="10.77734375" bestFit="1" customWidth="1"/>
    <col min="11" max="12" width="5.21875" bestFit="1" customWidth="1"/>
    <col min="13" max="13" width="12.6640625" bestFit="1" customWidth="1"/>
    <col min="14" max="14" width="12.5546875" bestFit="1" customWidth="1"/>
    <col min="15" max="17" width="5.21875" bestFit="1" customWidth="1"/>
    <col min="18" max="18" width="17.21875" bestFit="1" customWidth="1"/>
    <col min="19" max="19" width="15.88671875" bestFit="1" customWidth="1"/>
    <col min="20" max="20" width="4.21875" bestFit="1" customWidth="1"/>
    <col min="21" max="21" width="10.77734375" bestFit="1" customWidth="1"/>
    <col min="22" max="23" width="5.33203125" bestFit="1" customWidth="1"/>
    <col min="24" max="24" width="10.77734375" bestFit="1" customWidth="1"/>
    <col min="25" max="25" width="13.109375" bestFit="1" customWidth="1"/>
    <col min="26" max="26" width="9.5546875" bestFit="1" customWidth="1"/>
    <col min="27" max="27" width="14.6640625" bestFit="1" customWidth="1"/>
    <col min="28" max="28" width="13.5546875" bestFit="1" customWidth="1"/>
    <col min="29" max="29" width="9.109375" bestFit="1" customWidth="1"/>
    <col min="30" max="30" width="10.77734375" bestFit="1" customWidth="1"/>
    <col min="31" max="31" width="12.33203125" bestFit="1" customWidth="1"/>
    <col min="32" max="32" width="15.109375" bestFit="1" customWidth="1"/>
    <col min="33" max="33" width="9.88671875" bestFit="1" customWidth="1"/>
    <col min="34" max="34" width="13" bestFit="1" customWidth="1"/>
    <col min="35" max="35" width="15.77734375" bestFit="1" customWidth="1"/>
    <col min="36" max="36" width="13.6640625" bestFit="1" customWidth="1"/>
    <col min="37" max="37" width="10.109375" bestFit="1" customWidth="1"/>
    <col min="38" max="38" width="11.6640625" bestFit="1" customWidth="1"/>
    <col min="39" max="39" width="11" bestFit="1" customWidth="1"/>
    <col min="40" max="40" width="17.21875" bestFit="1" customWidth="1"/>
    <col min="41" max="41" width="12.77734375" bestFit="1" customWidth="1"/>
    <col min="42" max="42" width="12.44140625" bestFit="1" customWidth="1"/>
    <col min="43" max="43" width="11.21875" bestFit="1" customWidth="1"/>
    <col min="44" max="44" width="10.77734375" bestFit="1" customWidth="1"/>
  </cols>
  <sheetData>
    <row r="3" spans="1:2" x14ac:dyDescent="0.3">
      <c r="A3" s="3" t="s">
        <v>748</v>
      </c>
      <c r="B3" t="s">
        <v>752</v>
      </c>
    </row>
    <row r="4" spans="1:2" x14ac:dyDescent="0.3">
      <c r="A4" s="4" t="s">
        <v>56</v>
      </c>
      <c r="B4">
        <v>131</v>
      </c>
    </row>
    <row r="5" spans="1:2" x14ac:dyDescent="0.3">
      <c r="A5" s="4" t="s">
        <v>29</v>
      </c>
      <c r="B5">
        <v>1075</v>
      </c>
    </row>
    <row r="6" spans="1:2" x14ac:dyDescent="0.3">
      <c r="A6" s="4" t="s">
        <v>749</v>
      </c>
      <c r="B6">
        <v>1206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AC271-19B4-47EC-8629-D9E54CC62507}">
  <dimension ref="A2:S24"/>
  <sheetViews>
    <sheetView workbookViewId="0">
      <selection activeCell="N13" sqref="N13"/>
    </sheetView>
  </sheetViews>
  <sheetFormatPr defaultRowHeight="14.4" x14ac:dyDescent="0.3"/>
  <cols>
    <col min="1" max="1" width="16.6640625" bestFit="1" customWidth="1"/>
    <col min="2" max="2" width="9.5546875" style="7" bestFit="1" customWidth="1"/>
  </cols>
  <sheetData>
    <row r="2" spans="1:19" x14ac:dyDescent="0.3">
      <c r="A2" t="s">
        <v>748</v>
      </c>
      <c r="B2" s="7" t="s">
        <v>753</v>
      </c>
      <c r="C2" t="s">
        <v>754</v>
      </c>
      <c r="D2" s="6" t="s">
        <v>755</v>
      </c>
      <c r="F2" t="s">
        <v>748</v>
      </c>
      <c r="G2" t="s">
        <v>753</v>
      </c>
      <c r="H2" t="s">
        <v>754</v>
      </c>
      <c r="I2" t="s">
        <v>755</v>
      </c>
      <c r="K2" t="s">
        <v>750</v>
      </c>
      <c r="L2" t="s">
        <v>751</v>
      </c>
      <c r="P2" s="3" t="s">
        <v>750</v>
      </c>
      <c r="Q2" s="3" t="s">
        <v>751</v>
      </c>
    </row>
    <row r="3" spans="1:19" x14ac:dyDescent="0.3">
      <c r="A3" t="s">
        <v>31</v>
      </c>
      <c r="B3" s="7">
        <v>85</v>
      </c>
      <c r="C3">
        <v>242</v>
      </c>
      <c r="D3">
        <f>C3-B3</f>
        <v>157</v>
      </c>
      <c r="F3" t="s">
        <v>36</v>
      </c>
      <c r="G3">
        <v>30</v>
      </c>
      <c r="H3">
        <v>50</v>
      </c>
      <c r="I3">
        <f>H3-G3</f>
        <v>20</v>
      </c>
      <c r="K3" t="s">
        <v>748</v>
      </c>
      <c r="L3" t="s">
        <v>753</v>
      </c>
      <c r="M3" t="s">
        <v>754</v>
      </c>
      <c r="N3" t="s">
        <v>755</v>
      </c>
      <c r="P3" s="3" t="s">
        <v>748</v>
      </c>
      <c r="Q3" t="s">
        <v>753</v>
      </c>
      <c r="R3" t="s">
        <v>754</v>
      </c>
      <c r="S3" t="s">
        <v>749</v>
      </c>
    </row>
    <row r="4" spans="1:19" x14ac:dyDescent="0.3">
      <c r="A4" t="s">
        <v>58</v>
      </c>
      <c r="B4" s="7">
        <v>15</v>
      </c>
      <c r="C4">
        <v>36</v>
      </c>
      <c r="D4">
        <f t="shared" ref="D4:D10" si="0">C4-B4</f>
        <v>21</v>
      </c>
      <c r="F4" t="s">
        <v>47</v>
      </c>
      <c r="G4">
        <v>83</v>
      </c>
      <c r="H4">
        <v>144</v>
      </c>
      <c r="I4">
        <f t="shared" ref="I4:I6" si="1">H4-G4</f>
        <v>61</v>
      </c>
      <c r="K4" t="s">
        <v>56</v>
      </c>
      <c r="L4">
        <v>18</v>
      </c>
      <c r="M4">
        <v>38</v>
      </c>
      <c r="N4">
        <f>M4-L4</f>
        <v>20</v>
      </c>
      <c r="P4" s="4" t="s">
        <v>56</v>
      </c>
      <c r="Q4">
        <v>18</v>
      </c>
      <c r="R4">
        <v>38</v>
      </c>
      <c r="S4">
        <v>56</v>
      </c>
    </row>
    <row r="5" spans="1:19" x14ac:dyDescent="0.3">
      <c r="A5" t="s">
        <v>272</v>
      </c>
      <c r="B5" s="7">
        <v>3</v>
      </c>
      <c r="C5">
        <v>16</v>
      </c>
      <c r="D5">
        <f t="shared" si="0"/>
        <v>13</v>
      </c>
      <c r="F5" t="s">
        <v>63</v>
      </c>
      <c r="G5">
        <v>17</v>
      </c>
      <c r="H5">
        <v>134</v>
      </c>
      <c r="I5">
        <f t="shared" si="1"/>
        <v>117</v>
      </c>
      <c r="K5" t="s">
        <v>29</v>
      </c>
      <c r="L5">
        <v>112</v>
      </c>
      <c r="M5">
        <v>290</v>
      </c>
      <c r="N5">
        <f t="shared" ref="N5:N6" si="2">M5-L5</f>
        <v>178</v>
      </c>
      <c r="P5" s="4" t="s">
        <v>29</v>
      </c>
      <c r="Q5">
        <v>112</v>
      </c>
      <c r="R5">
        <v>290</v>
      </c>
      <c r="S5">
        <v>402</v>
      </c>
    </row>
    <row r="6" spans="1:19" x14ac:dyDescent="0.3">
      <c r="A6" t="s">
        <v>88</v>
      </c>
      <c r="B6" s="7">
        <v>3</v>
      </c>
      <c r="C6">
        <v>2</v>
      </c>
      <c r="D6">
        <f t="shared" si="0"/>
        <v>-1</v>
      </c>
      <c r="F6" t="s">
        <v>749</v>
      </c>
      <c r="G6">
        <v>130</v>
      </c>
      <c r="H6">
        <v>328</v>
      </c>
      <c r="I6">
        <f t="shared" si="1"/>
        <v>198</v>
      </c>
      <c r="K6" t="s">
        <v>749</v>
      </c>
      <c r="L6">
        <v>130</v>
      </c>
      <c r="M6">
        <v>328</v>
      </c>
      <c r="N6">
        <f t="shared" si="2"/>
        <v>198</v>
      </c>
      <c r="P6" s="4" t="s">
        <v>749</v>
      </c>
      <c r="Q6">
        <v>130</v>
      </c>
      <c r="R6">
        <v>328</v>
      </c>
      <c r="S6">
        <v>458</v>
      </c>
    </row>
    <row r="7" spans="1:19" x14ac:dyDescent="0.3">
      <c r="A7" t="s">
        <v>520</v>
      </c>
      <c r="B7" s="7">
        <v>1</v>
      </c>
      <c r="C7">
        <v>8</v>
      </c>
      <c r="D7">
        <f t="shared" si="0"/>
        <v>7</v>
      </c>
    </row>
    <row r="8" spans="1:19" x14ac:dyDescent="0.3">
      <c r="A8" t="s">
        <v>42</v>
      </c>
      <c r="B8" s="7">
        <v>12</v>
      </c>
      <c r="C8">
        <v>20</v>
      </c>
      <c r="D8">
        <f t="shared" si="0"/>
        <v>8</v>
      </c>
      <c r="P8" s="3" t="s">
        <v>750</v>
      </c>
      <c r="Q8" s="3" t="s">
        <v>751</v>
      </c>
    </row>
    <row r="9" spans="1:19" x14ac:dyDescent="0.3">
      <c r="A9" t="s">
        <v>174</v>
      </c>
      <c r="B9" s="7">
        <v>11</v>
      </c>
      <c r="C9">
        <v>4</v>
      </c>
      <c r="D9">
        <f t="shared" si="0"/>
        <v>-7</v>
      </c>
      <c r="P9" s="3" t="s">
        <v>748</v>
      </c>
      <c r="Q9" t="s">
        <v>753</v>
      </c>
      <c r="R9" t="s">
        <v>754</v>
      </c>
      <c r="S9" t="s">
        <v>749</v>
      </c>
    </row>
    <row r="10" spans="1:19" x14ac:dyDescent="0.3">
      <c r="A10" t="s">
        <v>749</v>
      </c>
      <c r="B10" s="7">
        <f>SUM(B3:B9)</f>
        <v>130</v>
      </c>
      <c r="C10" s="7">
        <f>SUM(C3:C9)</f>
        <v>328</v>
      </c>
      <c r="D10">
        <f t="shared" si="0"/>
        <v>198</v>
      </c>
      <c r="P10" s="4" t="s">
        <v>36</v>
      </c>
      <c r="Q10">
        <v>30</v>
      </c>
      <c r="R10">
        <v>50</v>
      </c>
      <c r="S10">
        <v>80</v>
      </c>
    </row>
    <row r="11" spans="1:19" x14ac:dyDescent="0.3">
      <c r="P11" s="4" t="s">
        <v>47</v>
      </c>
      <c r="Q11">
        <v>83</v>
      </c>
      <c r="R11">
        <v>144</v>
      </c>
      <c r="S11">
        <v>227</v>
      </c>
    </row>
    <row r="12" spans="1:19" s="6" customFormat="1" x14ac:dyDescent="0.3">
      <c r="A12" s="6" t="s">
        <v>13</v>
      </c>
      <c r="B12" s="8" t="s">
        <v>755</v>
      </c>
      <c r="D12" s="6" t="s">
        <v>756</v>
      </c>
      <c r="E12" s="6" t="s">
        <v>755</v>
      </c>
      <c r="G12" s="6" t="s">
        <v>11</v>
      </c>
      <c r="H12" s="6" t="s">
        <v>755</v>
      </c>
      <c r="P12" s="4" t="s">
        <v>63</v>
      </c>
      <c r="Q12">
        <v>17</v>
      </c>
      <c r="R12">
        <v>134</v>
      </c>
      <c r="S12">
        <v>151</v>
      </c>
    </row>
    <row r="13" spans="1:19" x14ac:dyDescent="0.3">
      <c r="A13" t="s">
        <v>31</v>
      </c>
      <c r="B13" s="7">
        <v>157</v>
      </c>
      <c r="D13" t="s">
        <v>36</v>
      </c>
      <c r="E13">
        <v>20</v>
      </c>
      <c r="G13" t="s">
        <v>56</v>
      </c>
      <c r="H13">
        <v>20</v>
      </c>
      <c r="P13" s="4" t="s">
        <v>749</v>
      </c>
      <c r="Q13">
        <v>130</v>
      </c>
      <c r="R13">
        <v>328</v>
      </c>
      <c r="S13">
        <v>458</v>
      </c>
    </row>
    <row r="14" spans="1:19" x14ac:dyDescent="0.3">
      <c r="A14" t="s">
        <v>58</v>
      </c>
      <c r="B14" s="7">
        <v>21</v>
      </c>
      <c r="D14" t="s">
        <v>47</v>
      </c>
      <c r="E14">
        <v>61</v>
      </c>
      <c r="G14" t="s">
        <v>29</v>
      </c>
      <c r="H14">
        <v>178</v>
      </c>
    </row>
    <row r="15" spans="1:19" x14ac:dyDescent="0.3">
      <c r="A15" t="s">
        <v>272</v>
      </c>
      <c r="B15" s="7">
        <v>13</v>
      </c>
      <c r="D15" t="s">
        <v>63</v>
      </c>
      <c r="E15">
        <v>117</v>
      </c>
      <c r="G15" t="s">
        <v>749</v>
      </c>
      <c r="H15">
        <v>198</v>
      </c>
      <c r="P15" s="3" t="s">
        <v>750</v>
      </c>
      <c r="Q15" s="3" t="s">
        <v>751</v>
      </c>
    </row>
    <row r="16" spans="1:19" x14ac:dyDescent="0.3">
      <c r="A16" t="s">
        <v>88</v>
      </c>
      <c r="B16" s="7">
        <v>-1</v>
      </c>
      <c r="D16" t="s">
        <v>749</v>
      </c>
      <c r="E16">
        <v>198</v>
      </c>
      <c r="P16" s="3" t="s">
        <v>748</v>
      </c>
      <c r="Q16" t="s">
        <v>753</v>
      </c>
      <c r="R16" t="s">
        <v>754</v>
      </c>
      <c r="S16" t="s">
        <v>749</v>
      </c>
    </row>
    <row r="17" spans="1:19" x14ac:dyDescent="0.3">
      <c r="A17" t="s">
        <v>520</v>
      </c>
      <c r="B17" s="7">
        <v>7</v>
      </c>
      <c r="P17" s="4" t="s">
        <v>31</v>
      </c>
      <c r="Q17">
        <v>85</v>
      </c>
      <c r="R17">
        <v>242</v>
      </c>
      <c r="S17">
        <v>327</v>
      </c>
    </row>
    <row r="18" spans="1:19" x14ac:dyDescent="0.3">
      <c r="A18" t="s">
        <v>42</v>
      </c>
      <c r="B18" s="7">
        <v>8</v>
      </c>
      <c r="P18" s="4" t="s">
        <v>58</v>
      </c>
      <c r="Q18">
        <v>15</v>
      </c>
      <c r="R18">
        <v>36</v>
      </c>
      <c r="S18">
        <v>51</v>
      </c>
    </row>
    <row r="19" spans="1:19" x14ac:dyDescent="0.3">
      <c r="A19" t="s">
        <v>174</v>
      </c>
      <c r="B19" s="7">
        <v>-7</v>
      </c>
      <c r="P19" s="4" t="s">
        <v>272</v>
      </c>
      <c r="Q19">
        <v>3</v>
      </c>
      <c r="R19">
        <v>16</v>
      </c>
      <c r="S19">
        <v>19</v>
      </c>
    </row>
    <row r="20" spans="1:19" x14ac:dyDescent="0.3">
      <c r="A20" t="s">
        <v>749</v>
      </c>
      <c r="B20" s="7">
        <v>198</v>
      </c>
      <c r="P20" s="4" t="s">
        <v>88</v>
      </c>
      <c r="Q20">
        <v>3</v>
      </c>
      <c r="R20">
        <v>2</v>
      </c>
      <c r="S20">
        <v>5</v>
      </c>
    </row>
    <row r="21" spans="1:19" x14ac:dyDescent="0.3">
      <c r="P21" s="4" t="s">
        <v>520</v>
      </c>
      <c r="Q21">
        <v>1</v>
      </c>
      <c r="R21">
        <v>8</v>
      </c>
      <c r="S21">
        <v>9</v>
      </c>
    </row>
    <row r="22" spans="1:19" x14ac:dyDescent="0.3">
      <c r="P22" s="4" t="s">
        <v>42</v>
      </c>
      <c r="Q22">
        <v>12</v>
      </c>
      <c r="R22">
        <v>20</v>
      </c>
      <c r="S22">
        <v>32</v>
      </c>
    </row>
    <row r="23" spans="1:19" x14ac:dyDescent="0.3">
      <c r="P23" s="4" t="s">
        <v>174</v>
      </c>
      <c r="Q23">
        <v>11</v>
      </c>
      <c r="R23">
        <v>4</v>
      </c>
      <c r="S23">
        <v>15</v>
      </c>
    </row>
    <row r="24" spans="1:19" x14ac:dyDescent="0.3">
      <c r="P24" s="4" t="s">
        <v>749</v>
      </c>
      <c r="Q24">
        <v>130</v>
      </c>
      <c r="R24">
        <v>328</v>
      </c>
      <c r="S24">
        <v>458</v>
      </c>
    </row>
  </sheetData>
  <conditionalFormatting sqref="B12:B20">
    <cfRule type="cellIs" dxfId="15" priority="5" operator="lessThan">
      <formula>0</formula>
    </cfRule>
    <cfRule type="cellIs" dxfId="14" priority="6" operator="greaterThan">
      <formula>0</formula>
    </cfRule>
    <cfRule type="cellIs" dxfId="13" priority="7" operator="lessThanOrEqual">
      <formula>0</formula>
    </cfRule>
    <cfRule type="cellIs" dxfId="12" priority="8" operator="greaterThan">
      <formula>0</formula>
    </cfRule>
  </conditionalFormatting>
  <conditionalFormatting sqref="D2:D10">
    <cfRule type="cellIs" dxfId="11" priority="12" operator="lessThan">
      <formula>0</formula>
    </cfRule>
    <cfRule type="cellIs" dxfId="10" priority="13" operator="greaterThan">
      <formula>0</formula>
    </cfRule>
    <cfRule type="cellIs" dxfId="9" priority="15" operator="lessThanOrEqual">
      <formula>0</formula>
    </cfRule>
    <cfRule type="cellIs" dxfId="8" priority="16" operator="greaterThan">
      <formula>0</formula>
    </cfRule>
  </conditionalFormatting>
  <conditionalFormatting sqref="E12:E16">
    <cfRule type="cellIs" dxfId="7" priority="3" operator="lessThan">
      <formula>0</formula>
    </cfRule>
    <cfRule type="cellIs" dxfId="6" priority="4" operator="greaterThan">
      <formula>0</formula>
    </cfRule>
  </conditionalFormatting>
  <conditionalFormatting sqref="H12:H15">
    <cfRule type="cellIs" dxfId="5" priority="1" operator="lessThan">
      <formula>0</formula>
    </cfRule>
    <cfRule type="cellIs" dxfId="4" priority="2" operator="greaterThan">
      <formula>0</formula>
    </cfRule>
  </conditionalFormatting>
  <conditionalFormatting sqref="I2:I6">
    <cfRule type="cellIs" dxfId="3" priority="11" operator="lessThan">
      <formula>0</formula>
    </cfRule>
    <cfRule type="cellIs" dxfId="2" priority="14" operator="greaterThan">
      <formula>0</formula>
    </cfRule>
  </conditionalFormatting>
  <conditionalFormatting sqref="N3:N6">
    <cfRule type="cellIs" dxfId="1" priority="9" operator="lessThan">
      <formula>0</formula>
    </cfRule>
    <cfRule type="cellIs" dxfId="0" priority="10" operator="greaterThan">
      <formula>0</formula>
    </cfRule>
  </conditionalFormatting>
  <pageMargins left="0.7" right="0.7" top="0.75" bottom="0.75" header="0.3" footer="0.3"/>
  <pageSetup paperSize="9" orientation="portrait" horizontalDpi="4294967293" verticalDpi="0"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420AF-FD4E-4C5D-B27A-C1135742801A}">
  <dimension ref="A1:L19"/>
  <sheetViews>
    <sheetView zoomScale="99" zoomScaleNormal="99" workbookViewId="0">
      <selection activeCell="I2" sqref="I2:L7"/>
    </sheetView>
  </sheetViews>
  <sheetFormatPr defaultRowHeight="14.4" x14ac:dyDescent="0.3"/>
  <cols>
    <col min="1" max="1" width="12.5546875" bestFit="1" customWidth="1"/>
    <col min="2" max="2" width="12" bestFit="1" customWidth="1"/>
    <col min="3" max="3" width="7.44140625" bestFit="1" customWidth="1"/>
    <col min="4" max="4" width="10.6640625" bestFit="1" customWidth="1"/>
    <col min="5" max="5" width="10.5546875" bestFit="1" customWidth="1"/>
    <col min="10" max="10" width="19.21875" bestFit="1" customWidth="1"/>
    <col min="11" max="11" width="15.5546875" bestFit="1" customWidth="1"/>
    <col min="12" max="12" width="12.5546875" bestFit="1" customWidth="1"/>
    <col min="13" max="13" width="15.6640625" bestFit="1" customWidth="1"/>
    <col min="14" max="14" width="4" bestFit="1" customWidth="1"/>
    <col min="15" max="15" width="10.6640625" bestFit="1" customWidth="1"/>
    <col min="16" max="17" width="8.77734375" bestFit="1" customWidth="1"/>
    <col min="18" max="18" width="11.5546875" bestFit="1" customWidth="1"/>
    <col min="19" max="21" width="11.88671875" bestFit="1" customWidth="1"/>
    <col min="22" max="22" width="14.77734375" bestFit="1" customWidth="1"/>
    <col min="23" max="25" width="11.5546875" bestFit="1" customWidth="1"/>
    <col min="26" max="26" width="14.44140625" bestFit="1" customWidth="1"/>
    <col min="27" max="27" width="13.33203125" bestFit="1" customWidth="1"/>
    <col min="28" max="28" width="16.21875" bestFit="1" customWidth="1"/>
    <col min="29" max="29" width="11.33203125" bestFit="1" customWidth="1"/>
    <col min="30" max="30" width="14.21875" bestFit="1" customWidth="1"/>
    <col min="31" max="33" width="12.5546875" bestFit="1" customWidth="1"/>
    <col min="34" max="34" width="15.44140625" bestFit="1" customWidth="1"/>
    <col min="35" max="37" width="11.6640625" bestFit="1" customWidth="1"/>
    <col min="38" max="38" width="14.5546875" bestFit="1" customWidth="1"/>
    <col min="39" max="41" width="10.44140625" bestFit="1" customWidth="1"/>
    <col min="42" max="42" width="13.33203125" bestFit="1" customWidth="1"/>
    <col min="43" max="44" width="16.6640625" bestFit="1" customWidth="1"/>
    <col min="45" max="45" width="19.5546875" bestFit="1" customWidth="1"/>
    <col min="46" max="46" width="12.77734375" bestFit="1" customWidth="1"/>
    <col min="47" max="47" width="15.6640625" bestFit="1" customWidth="1"/>
    <col min="48" max="48" width="14.44140625" bestFit="1" customWidth="1"/>
    <col min="49" max="49" width="17.44140625" bestFit="1" customWidth="1"/>
    <col min="50" max="51" width="13.21875" bestFit="1" customWidth="1"/>
    <col min="52" max="52" width="16.109375" bestFit="1" customWidth="1"/>
    <col min="53" max="53" width="14.77734375" bestFit="1" customWidth="1"/>
    <col min="54" max="54" width="17.6640625" bestFit="1" customWidth="1"/>
    <col min="55" max="55" width="9.88671875" bestFit="1" customWidth="1"/>
    <col min="56" max="56" width="12.6640625" bestFit="1" customWidth="1"/>
    <col min="57" max="59" width="13.5546875" bestFit="1" customWidth="1"/>
    <col min="60" max="60" width="16.44140625" bestFit="1" customWidth="1"/>
    <col min="61" max="61" width="11" bestFit="1" customWidth="1"/>
    <col min="62" max="62" width="13.88671875" bestFit="1" customWidth="1"/>
    <col min="63" max="63" width="10.109375" bestFit="1" customWidth="1"/>
    <col min="64" max="64" width="12.88671875" bestFit="1" customWidth="1"/>
    <col min="65" max="66" width="12.21875" bestFit="1" customWidth="1"/>
    <col min="67" max="67" width="15.109375" bestFit="1" customWidth="1"/>
    <col min="68" max="68" width="10.5546875" bestFit="1" customWidth="1"/>
  </cols>
  <sheetData>
    <row r="1" spans="1:12" x14ac:dyDescent="0.3">
      <c r="A1" s="3" t="s">
        <v>748</v>
      </c>
      <c r="B1" t="s">
        <v>752</v>
      </c>
    </row>
    <row r="2" spans="1:12" x14ac:dyDescent="0.3">
      <c r="A2" s="4" t="s">
        <v>36</v>
      </c>
      <c r="B2">
        <v>254</v>
      </c>
      <c r="D2" s="3" t="s">
        <v>750</v>
      </c>
      <c r="E2" s="3" t="s">
        <v>751</v>
      </c>
      <c r="I2" s="3" t="s">
        <v>750</v>
      </c>
      <c r="J2" s="3" t="s">
        <v>751</v>
      </c>
    </row>
    <row r="3" spans="1:12" x14ac:dyDescent="0.3">
      <c r="A3" s="4" t="s">
        <v>47</v>
      </c>
      <c r="B3">
        <v>647</v>
      </c>
      <c r="D3" s="3" t="s">
        <v>748</v>
      </c>
      <c r="E3" t="s">
        <v>753</v>
      </c>
      <c r="F3" t="s">
        <v>754</v>
      </c>
      <c r="G3" t="s">
        <v>749</v>
      </c>
      <c r="I3" s="3" t="s">
        <v>748</v>
      </c>
      <c r="J3" t="s">
        <v>753</v>
      </c>
      <c r="K3" t="s">
        <v>754</v>
      </c>
      <c r="L3" t="s">
        <v>749</v>
      </c>
    </row>
    <row r="4" spans="1:12" x14ac:dyDescent="0.3">
      <c r="A4" s="4" t="s">
        <v>63</v>
      </c>
      <c r="B4">
        <v>305</v>
      </c>
      <c r="D4" s="4" t="s">
        <v>56</v>
      </c>
      <c r="E4">
        <v>18</v>
      </c>
      <c r="F4">
        <v>38</v>
      </c>
      <c r="G4">
        <v>56</v>
      </c>
      <c r="I4" s="4" t="s">
        <v>36</v>
      </c>
      <c r="J4">
        <v>30</v>
      </c>
      <c r="K4">
        <v>50</v>
      </c>
      <c r="L4">
        <v>80</v>
      </c>
    </row>
    <row r="5" spans="1:12" x14ac:dyDescent="0.3">
      <c r="A5" s="4" t="s">
        <v>749</v>
      </c>
      <c r="B5">
        <v>1206</v>
      </c>
      <c r="D5" s="4" t="s">
        <v>29</v>
      </c>
      <c r="E5">
        <v>112</v>
      </c>
      <c r="F5">
        <v>290</v>
      </c>
      <c r="G5">
        <v>402</v>
      </c>
      <c r="I5" s="4" t="s">
        <v>47</v>
      </c>
      <c r="J5">
        <v>83</v>
      </c>
      <c r="K5">
        <v>144</v>
      </c>
      <c r="L5">
        <v>227</v>
      </c>
    </row>
    <row r="6" spans="1:12" x14ac:dyDescent="0.3">
      <c r="D6" s="4" t="s">
        <v>749</v>
      </c>
      <c r="E6">
        <v>130</v>
      </c>
      <c r="F6">
        <v>328</v>
      </c>
      <c r="G6">
        <v>458</v>
      </c>
      <c r="I6" s="4" t="s">
        <v>63</v>
      </c>
      <c r="J6">
        <v>17</v>
      </c>
      <c r="K6">
        <v>134</v>
      </c>
      <c r="L6">
        <v>151</v>
      </c>
    </row>
    <row r="7" spans="1:12" x14ac:dyDescent="0.3">
      <c r="I7" s="4" t="s">
        <v>749</v>
      </c>
      <c r="J7">
        <v>130</v>
      </c>
      <c r="K7">
        <v>328</v>
      </c>
      <c r="L7">
        <v>458</v>
      </c>
    </row>
    <row r="14" spans="1:12" x14ac:dyDescent="0.3">
      <c r="A14" s="3" t="s">
        <v>752</v>
      </c>
      <c r="B14" s="3" t="s">
        <v>751</v>
      </c>
    </row>
    <row r="15" spans="1:12" x14ac:dyDescent="0.3">
      <c r="A15" s="3" t="s">
        <v>748</v>
      </c>
      <c r="B15" t="s">
        <v>56</v>
      </c>
      <c r="C15" t="s">
        <v>29</v>
      </c>
      <c r="D15" t="s">
        <v>749</v>
      </c>
    </row>
    <row r="16" spans="1:12" x14ac:dyDescent="0.3">
      <c r="A16" s="4" t="s">
        <v>36</v>
      </c>
      <c r="B16">
        <v>23</v>
      </c>
      <c r="C16">
        <v>231</v>
      </c>
      <c r="D16">
        <v>254</v>
      </c>
    </row>
    <row r="17" spans="1:4" x14ac:dyDescent="0.3">
      <c r="A17" s="4" t="s">
        <v>47</v>
      </c>
      <c r="B17">
        <v>70</v>
      </c>
      <c r="C17">
        <v>577</v>
      </c>
      <c r="D17">
        <v>647</v>
      </c>
    </row>
    <row r="18" spans="1:4" x14ac:dyDescent="0.3">
      <c r="A18" s="4" t="s">
        <v>63</v>
      </c>
      <c r="B18">
        <v>38</v>
      </c>
      <c r="C18">
        <v>267</v>
      </c>
      <c r="D18">
        <v>305</v>
      </c>
    </row>
    <row r="19" spans="1:4" x14ac:dyDescent="0.3">
      <c r="A19" s="4" t="s">
        <v>749</v>
      </c>
      <c r="B19">
        <v>131</v>
      </c>
      <c r="C19">
        <v>1075</v>
      </c>
      <c r="D19">
        <v>1206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0CF82-CEB6-4C7E-8E6F-ECF9AB730A31}">
  <dimension ref="A2:E25"/>
  <sheetViews>
    <sheetView zoomScaleNormal="100" workbookViewId="0">
      <selection activeCell="I22" sqref="I22"/>
    </sheetView>
  </sheetViews>
  <sheetFormatPr defaultRowHeight="14.4" x14ac:dyDescent="0.3"/>
  <cols>
    <col min="1" max="1" width="16.6640625" bestFit="1" customWidth="1"/>
    <col min="2" max="2" width="15.5546875" bestFit="1" customWidth="1"/>
    <col min="3" max="3" width="4.109375" bestFit="1" customWidth="1"/>
    <col min="4" max="5" width="10.5546875" bestFit="1" customWidth="1"/>
    <col min="6" max="6" width="14.21875" bestFit="1" customWidth="1"/>
    <col min="7" max="7" width="12.77734375" bestFit="1" customWidth="1"/>
    <col min="8" max="8" width="10.5546875" bestFit="1" customWidth="1"/>
    <col min="9" max="19" width="5.109375" bestFit="1" customWidth="1"/>
    <col min="20" max="23" width="5.21875" bestFit="1" customWidth="1"/>
    <col min="24" max="24" width="10.5546875" bestFit="1" customWidth="1"/>
  </cols>
  <sheetData>
    <row r="2" spans="1:5" x14ac:dyDescent="0.3">
      <c r="A2" s="3" t="s">
        <v>752</v>
      </c>
      <c r="B2" s="3" t="s">
        <v>751</v>
      </c>
    </row>
    <row r="3" spans="1:5" x14ac:dyDescent="0.3">
      <c r="A3" s="3" t="s">
        <v>748</v>
      </c>
      <c r="B3" t="s">
        <v>36</v>
      </c>
      <c r="C3" t="s">
        <v>47</v>
      </c>
      <c r="D3" t="s">
        <v>63</v>
      </c>
      <c r="E3" t="s">
        <v>749</v>
      </c>
    </row>
    <row r="4" spans="1:5" x14ac:dyDescent="0.3">
      <c r="A4" s="4" t="s">
        <v>31</v>
      </c>
      <c r="B4">
        <v>153</v>
      </c>
      <c r="C4">
        <v>444</v>
      </c>
      <c r="D4">
        <v>245</v>
      </c>
      <c r="E4">
        <v>842</v>
      </c>
    </row>
    <row r="5" spans="1:5" x14ac:dyDescent="0.3">
      <c r="A5" s="4" t="s">
        <v>58</v>
      </c>
      <c r="B5">
        <v>23</v>
      </c>
      <c r="C5">
        <v>58</v>
      </c>
      <c r="D5">
        <v>38</v>
      </c>
      <c r="E5">
        <v>119</v>
      </c>
    </row>
    <row r="6" spans="1:5" x14ac:dyDescent="0.3">
      <c r="A6" s="4" t="s">
        <v>272</v>
      </c>
      <c r="B6">
        <v>26</v>
      </c>
      <c r="C6">
        <v>5</v>
      </c>
      <c r="D6">
        <v>13</v>
      </c>
      <c r="E6">
        <v>44</v>
      </c>
    </row>
    <row r="7" spans="1:5" x14ac:dyDescent="0.3">
      <c r="A7" s="4" t="s">
        <v>88</v>
      </c>
      <c r="C7">
        <v>12</v>
      </c>
      <c r="E7">
        <v>12</v>
      </c>
    </row>
    <row r="8" spans="1:5" x14ac:dyDescent="0.3">
      <c r="A8" s="4" t="s">
        <v>520</v>
      </c>
      <c r="C8">
        <v>9</v>
      </c>
      <c r="D8">
        <v>7</v>
      </c>
      <c r="E8">
        <v>16</v>
      </c>
    </row>
    <row r="9" spans="1:5" x14ac:dyDescent="0.3">
      <c r="A9" s="4" t="s">
        <v>42</v>
      </c>
      <c r="B9">
        <v>35</v>
      </c>
      <c r="C9">
        <v>78</v>
      </c>
      <c r="D9">
        <v>2</v>
      </c>
      <c r="E9">
        <v>115</v>
      </c>
    </row>
    <row r="10" spans="1:5" x14ac:dyDescent="0.3">
      <c r="A10" s="4" t="s">
        <v>174</v>
      </c>
      <c r="B10">
        <v>17</v>
      </c>
      <c r="C10">
        <v>41</v>
      </c>
      <c r="E10">
        <v>58</v>
      </c>
    </row>
    <row r="11" spans="1:5" x14ac:dyDescent="0.3">
      <c r="A11" s="4" t="s">
        <v>749</v>
      </c>
      <c r="B11">
        <v>254</v>
      </c>
      <c r="C11">
        <v>647</v>
      </c>
      <c r="D11">
        <v>305</v>
      </c>
      <c r="E11">
        <v>1206</v>
      </c>
    </row>
    <row r="16" spans="1:5" x14ac:dyDescent="0.3">
      <c r="A16" s="3" t="s">
        <v>750</v>
      </c>
      <c r="B16" s="3" t="s">
        <v>751</v>
      </c>
    </row>
    <row r="17" spans="1:4" x14ac:dyDescent="0.3">
      <c r="A17" s="3" t="s">
        <v>748</v>
      </c>
      <c r="B17" t="s">
        <v>753</v>
      </c>
      <c r="C17" t="s">
        <v>754</v>
      </c>
      <c r="D17" t="s">
        <v>749</v>
      </c>
    </row>
    <row r="18" spans="1:4" x14ac:dyDescent="0.3">
      <c r="A18" s="4" t="s">
        <v>31</v>
      </c>
      <c r="B18">
        <v>85</v>
      </c>
      <c r="C18">
        <v>242</v>
      </c>
      <c r="D18">
        <v>327</v>
      </c>
    </row>
    <row r="19" spans="1:4" x14ac:dyDescent="0.3">
      <c r="A19" s="4" t="s">
        <v>58</v>
      </c>
      <c r="B19">
        <v>15</v>
      </c>
      <c r="C19">
        <v>36</v>
      </c>
      <c r="D19">
        <v>51</v>
      </c>
    </row>
    <row r="20" spans="1:4" x14ac:dyDescent="0.3">
      <c r="A20" s="4" t="s">
        <v>272</v>
      </c>
      <c r="B20">
        <v>3</v>
      </c>
      <c r="C20">
        <v>16</v>
      </c>
      <c r="D20">
        <v>19</v>
      </c>
    </row>
    <row r="21" spans="1:4" x14ac:dyDescent="0.3">
      <c r="A21" s="4" t="s">
        <v>88</v>
      </c>
      <c r="B21">
        <v>3</v>
      </c>
      <c r="C21">
        <v>2</v>
      </c>
      <c r="D21">
        <v>5</v>
      </c>
    </row>
    <row r="22" spans="1:4" x14ac:dyDescent="0.3">
      <c r="A22" s="4" t="s">
        <v>520</v>
      </c>
      <c r="B22">
        <v>1</v>
      </c>
      <c r="C22">
        <v>8</v>
      </c>
      <c r="D22">
        <v>9</v>
      </c>
    </row>
    <row r="23" spans="1:4" x14ac:dyDescent="0.3">
      <c r="A23" s="4" t="s">
        <v>42</v>
      </c>
      <c r="B23">
        <v>12</v>
      </c>
      <c r="C23">
        <v>20</v>
      </c>
      <c r="D23">
        <v>32</v>
      </c>
    </row>
    <row r="24" spans="1:4" x14ac:dyDescent="0.3">
      <c r="A24" s="4" t="s">
        <v>174</v>
      </c>
      <c r="B24">
        <v>11</v>
      </c>
      <c r="C24">
        <v>4</v>
      </c>
      <c r="D24">
        <v>15</v>
      </c>
    </row>
    <row r="25" spans="1:4" x14ac:dyDescent="0.3">
      <c r="A25" s="4" t="s">
        <v>749</v>
      </c>
      <c r="B25">
        <v>130</v>
      </c>
      <c r="C25">
        <v>328</v>
      </c>
      <c r="D25">
        <v>458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A1A9F-9084-4360-BCD7-56387E3C1810}">
  <dimension ref="A1:W295"/>
  <sheetViews>
    <sheetView tabSelected="1" workbookViewId="0">
      <selection activeCell="I9" sqref="I9"/>
    </sheetView>
  </sheetViews>
  <sheetFormatPr defaultRowHeight="14.4" x14ac:dyDescent="0.3"/>
  <cols>
    <col min="2" max="2" width="10.33203125" bestFit="1" customWidth="1"/>
  </cols>
  <sheetData>
    <row r="1" spans="1:23" s="2" customFormat="1"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3">
      <c r="A2">
        <v>49512910</v>
      </c>
      <c r="B2" s="1">
        <v>46057</v>
      </c>
      <c r="C2">
        <v>4</v>
      </c>
      <c r="D2">
        <v>2</v>
      </c>
      <c r="E2">
        <v>2026</v>
      </c>
      <c r="F2" t="s">
        <v>23</v>
      </c>
      <c r="G2" t="s">
        <v>24</v>
      </c>
      <c r="H2" t="s">
        <v>25</v>
      </c>
      <c r="I2" t="s">
        <v>26</v>
      </c>
      <c r="J2" t="s">
        <v>27</v>
      </c>
      <c r="K2" t="s">
        <v>28</v>
      </c>
      <c r="L2" t="s">
        <v>29</v>
      </c>
      <c r="M2" t="s">
        <v>30</v>
      </c>
      <c r="N2" t="s">
        <v>31</v>
      </c>
      <c r="O2" t="s">
        <v>32</v>
      </c>
      <c r="P2" t="s">
        <v>33</v>
      </c>
      <c r="Q2" t="s">
        <v>34</v>
      </c>
      <c r="R2" t="s">
        <v>35</v>
      </c>
      <c r="S2" t="s">
        <v>36</v>
      </c>
      <c r="T2" t="s">
        <v>37</v>
      </c>
      <c r="U2" t="s">
        <v>38</v>
      </c>
      <c r="V2" t="s">
        <v>39</v>
      </c>
      <c r="W2">
        <v>2</v>
      </c>
    </row>
    <row r="3" spans="1:23" x14ac:dyDescent="0.3">
      <c r="A3">
        <v>48742392</v>
      </c>
      <c r="B3" s="1">
        <v>46044</v>
      </c>
      <c r="C3">
        <v>22</v>
      </c>
      <c r="D3">
        <v>1</v>
      </c>
      <c r="E3">
        <v>2026</v>
      </c>
      <c r="F3" t="s">
        <v>23</v>
      </c>
      <c r="G3" t="s">
        <v>24</v>
      </c>
      <c r="H3" t="s">
        <v>25</v>
      </c>
      <c r="I3" t="s">
        <v>40</v>
      </c>
      <c r="J3" t="s">
        <v>41</v>
      </c>
      <c r="K3" t="s">
        <v>28</v>
      </c>
      <c r="L3" t="s">
        <v>29</v>
      </c>
      <c r="M3" t="s">
        <v>30</v>
      </c>
      <c r="N3" t="s">
        <v>42</v>
      </c>
      <c r="O3" t="s">
        <v>43</v>
      </c>
      <c r="P3" t="s">
        <v>44</v>
      </c>
      <c r="Q3" t="s">
        <v>45</v>
      </c>
      <c r="R3" t="s">
        <v>46</v>
      </c>
      <c r="S3" t="s">
        <v>47</v>
      </c>
      <c r="T3" t="s">
        <v>48</v>
      </c>
      <c r="U3" t="s">
        <v>49</v>
      </c>
      <c r="V3" t="s">
        <v>50</v>
      </c>
      <c r="W3">
        <v>4</v>
      </c>
    </row>
    <row r="4" spans="1:23" x14ac:dyDescent="0.3">
      <c r="A4">
        <v>49622603</v>
      </c>
      <c r="B4" s="1">
        <v>46053</v>
      </c>
      <c r="C4">
        <v>31</v>
      </c>
      <c r="D4">
        <v>1</v>
      </c>
      <c r="E4">
        <v>2026</v>
      </c>
      <c r="F4" t="s">
        <v>51</v>
      </c>
      <c r="G4" t="s">
        <v>52</v>
      </c>
      <c r="H4" t="s">
        <v>53</v>
      </c>
      <c r="I4" t="s">
        <v>54</v>
      </c>
      <c r="J4" t="s">
        <v>55</v>
      </c>
      <c r="K4" t="s">
        <v>28</v>
      </c>
      <c r="L4" t="s">
        <v>56</v>
      </c>
      <c r="M4" t="s">
        <v>57</v>
      </c>
      <c r="N4" t="s">
        <v>58</v>
      </c>
      <c r="O4" t="s">
        <v>59</v>
      </c>
      <c r="P4" t="s">
        <v>60</v>
      </c>
      <c r="Q4" t="s">
        <v>61</v>
      </c>
      <c r="R4" t="s">
        <v>62</v>
      </c>
      <c r="S4" t="s">
        <v>63</v>
      </c>
      <c r="T4" t="s">
        <v>64</v>
      </c>
      <c r="U4" t="s">
        <v>65</v>
      </c>
      <c r="V4" t="s">
        <v>66</v>
      </c>
      <c r="W4">
        <v>5</v>
      </c>
    </row>
    <row r="5" spans="1:23" x14ac:dyDescent="0.3">
      <c r="A5">
        <v>49304161</v>
      </c>
      <c r="B5" s="1">
        <v>46054</v>
      </c>
      <c r="C5">
        <v>1</v>
      </c>
      <c r="D5">
        <v>2</v>
      </c>
      <c r="E5">
        <v>2026</v>
      </c>
      <c r="F5" t="s">
        <v>23</v>
      </c>
      <c r="G5" t="s">
        <v>24</v>
      </c>
      <c r="H5" t="s">
        <v>25</v>
      </c>
      <c r="I5" t="s">
        <v>67</v>
      </c>
      <c r="J5" t="s">
        <v>68</v>
      </c>
      <c r="K5" t="s">
        <v>28</v>
      </c>
      <c r="L5" t="s">
        <v>29</v>
      </c>
      <c r="M5" t="s">
        <v>30</v>
      </c>
      <c r="N5" t="s">
        <v>31</v>
      </c>
      <c r="O5" t="s">
        <v>32</v>
      </c>
      <c r="P5" t="s">
        <v>69</v>
      </c>
      <c r="Q5" t="s">
        <v>70</v>
      </c>
      <c r="R5" t="s">
        <v>71</v>
      </c>
      <c r="S5" t="s">
        <v>63</v>
      </c>
      <c r="T5" t="s">
        <v>72</v>
      </c>
      <c r="U5" t="s">
        <v>73</v>
      </c>
      <c r="V5" t="s">
        <v>74</v>
      </c>
      <c r="W5">
        <v>6</v>
      </c>
    </row>
    <row r="6" spans="1:23" x14ac:dyDescent="0.3">
      <c r="A6">
        <v>49724511</v>
      </c>
      <c r="B6" s="1">
        <v>46056</v>
      </c>
      <c r="C6">
        <v>3</v>
      </c>
      <c r="D6">
        <v>2</v>
      </c>
      <c r="E6">
        <v>2026</v>
      </c>
      <c r="F6" t="s">
        <v>23</v>
      </c>
      <c r="G6" t="s">
        <v>24</v>
      </c>
      <c r="H6" t="s">
        <v>25</v>
      </c>
      <c r="I6" t="s">
        <v>75</v>
      </c>
      <c r="J6" t="s">
        <v>76</v>
      </c>
      <c r="K6" t="s">
        <v>28</v>
      </c>
      <c r="L6" t="s">
        <v>29</v>
      </c>
      <c r="M6" t="s">
        <v>30</v>
      </c>
      <c r="N6" t="s">
        <v>31</v>
      </c>
      <c r="O6" t="s">
        <v>32</v>
      </c>
      <c r="P6" t="s">
        <v>69</v>
      </c>
      <c r="Q6" t="s">
        <v>77</v>
      </c>
      <c r="R6" t="s">
        <v>78</v>
      </c>
      <c r="S6" t="s">
        <v>47</v>
      </c>
      <c r="T6" t="s">
        <v>79</v>
      </c>
      <c r="U6" t="s">
        <v>80</v>
      </c>
      <c r="V6" t="s">
        <v>81</v>
      </c>
      <c r="W6">
        <v>2</v>
      </c>
    </row>
    <row r="7" spans="1:23" x14ac:dyDescent="0.3">
      <c r="A7">
        <v>48902693</v>
      </c>
      <c r="B7" s="1">
        <v>46048</v>
      </c>
      <c r="C7">
        <v>26</v>
      </c>
      <c r="D7">
        <v>1</v>
      </c>
      <c r="E7">
        <v>2026</v>
      </c>
      <c r="F7" t="s">
        <v>82</v>
      </c>
      <c r="G7" t="s">
        <v>83</v>
      </c>
      <c r="H7" t="s">
        <v>84</v>
      </c>
      <c r="I7" t="s">
        <v>85</v>
      </c>
      <c r="J7" t="s">
        <v>86</v>
      </c>
      <c r="K7" t="s">
        <v>28</v>
      </c>
      <c r="L7" t="s">
        <v>56</v>
      </c>
      <c r="M7" t="s">
        <v>87</v>
      </c>
      <c r="N7" t="s">
        <v>88</v>
      </c>
      <c r="O7" t="s">
        <v>89</v>
      </c>
      <c r="P7" t="s">
        <v>90</v>
      </c>
      <c r="Q7" t="s">
        <v>91</v>
      </c>
      <c r="R7" t="s">
        <v>92</v>
      </c>
      <c r="S7" t="s">
        <v>47</v>
      </c>
      <c r="T7" t="s">
        <v>93</v>
      </c>
      <c r="U7" t="s">
        <v>94</v>
      </c>
      <c r="V7" t="s">
        <v>95</v>
      </c>
      <c r="W7">
        <v>8</v>
      </c>
    </row>
    <row r="8" spans="1:23" x14ac:dyDescent="0.3">
      <c r="A8">
        <v>49395895</v>
      </c>
      <c r="B8" s="1">
        <v>46055</v>
      </c>
      <c r="C8">
        <v>2</v>
      </c>
      <c r="D8">
        <v>2</v>
      </c>
      <c r="E8">
        <v>2026</v>
      </c>
      <c r="F8" t="s">
        <v>23</v>
      </c>
      <c r="G8" t="s">
        <v>24</v>
      </c>
      <c r="H8" t="s">
        <v>25</v>
      </c>
      <c r="I8" t="s">
        <v>96</v>
      </c>
      <c r="J8" t="s">
        <v>97</v>
      </c>
      <c r="K8" t="s">
        <v>28</v>
      </c>
      <c r="L8" t="s">
        <v>29</v>
      </c>
      <c r="M8" t="s">
        <v>30</v>
      </c>
      <c r="N8" t="s">
        <v>31</v>
      </c>
      <c r="O8" t="s">
        <v>32</v>
      </c>
      <c r="P8" t="s">
        <v>98</v>
      </c>
      <c r="Q8" t="s">
        <v>99</v>
      </c>
      <c r="R8" t="s">
        <v>100</v>
      </c>
      <c r="S8" t="s">
        <v>47</v>
      </c>
      <c r="T8" t="s">
        <v>101</v>
      </c>
      <c r="U8" t="s">
        <v>102</v>
      </c>
      <c r="V8" t="s">
        <v>103</v>
      </c>
      <c r="W8">
        <v>6</v>
      </c>
    </row>
    <row r="9" spans="1:23" x14ac:dyDescent="0.3">
      <c r="A9">
        <v>49622601</v>
      </c>
      <c r="B9" s="1">
        <v>46053</v>
      </c>
      <c r="C9">
        <v>31</v>
      </c>
      <c r="D9">
        <v>1</v>
      </c>
      <c r="E9">
        <v>2026</v>
      </c>
      <c r="F9" t="s">
        <v>51</v>
      </c>
      <c r="G9" t="s">
        <v>52</v>
      </c>
      <c r="H9" t="s">
        <v>53</v>
      </c>
      <c r="I9" t="s">
        <v>104</v>
      </c>
      <c r="J9" t="s">
        <v>105</v>
      </c>
      <c r="K9" t="s">
        <v>28</v>
      </c>
      <c r="L9" t="s">
        <v>56</v>
      </c>
      <c r="M9" t="s">
        <v>57</v>
      </c>
      <c r="N9" t="s">
        <v>58</v>
      </c>
      <c r="O9" t="s">
        <v>59</v>
      </c>
      <c r="P9" t="s">
        <v>60</v>
      </c>
      <c r="Q9" t="s">
        <v>106</v>
      </c>
      <c r="R9" t="s">
        <v>107</v>
      </c>
      <c r="S9" t="s">
        <v>63</v>
      </c>
      <c r="T9" t="s">
        <v>64</v>
      </c>
      <c r="U9" t="s">
        <v>65</v>
      </c>
      <c r="V9" t="s">
        <v>66</v>
      </c>
      <c r="W9">
        <v>1</v>
      </c>
    </row>
    <row r="10" spans="1:23" x14ac:dyDescent="0.3">
      <c r="A10">
        <v>49888486</v>
      </c>
      <c r="B10" s="1">
        <v>46064</v>
      </c>
      <c r="C10">
        <v>11</v>
      </c>
      <c r="D10">
        <v>2</v>
      </c>
      <c r="E10">
        <v>2026</v>
      </c>
      <c r="F10" t="s">
        <v>23</v>
      </c>
      <c r="G10" t="s">
        <v>24</v>
      </c>
      <c r="H10" t="s">
        <v>25</v>
      </c>
      <c r="I10" t="s">
        <v>108</v>
      </c>
      <c r="J10" t="s">
        <v>109</v>
      </c>
      <c r="K10" t="s">
        <v>28</v>
      </c>
      <c r="L10" t="s">
        <v>29</v>
      </c>
      <c r="M10" t="s">
        <v>30</v>
      </c>
      <c r="N10" t="s">
        <v>31</v>
      </c>
      <c r="O10" t="s">
        <v>32</v>
      </c>
      <c r="P10" t="s">
        <v>110</v>
      </c>
      <c r="Q10" t="s">
        <v>111</v>
      </c>
      <c r="R10" t="s">
        <v>112</v>
      </c>
      <c r="S10" t="s">
        <v>47</v>
      </c>
      <c r="T10" t="s">
        <v>113</v>
      </c>
      <c r="U10" t="s">
        <v>114</v>
      </c>
      <c r="V10" t="s">
        <v>115</v>
      </c>
      <c r="W10">
        <v>0</v>
      </c>
    </row>
    <row r="11" spans="1:23" x14ac:dyDescent="0.3">
      <c r="A11">
        <v>48665831</v>
      </c>
      <c r="B11" s="1">
        <v>46037</v>
      </c>
      <c r="C11">
        <v>15</v>
      </c>
      <c r="D11">
        <v>1</v>
      </c>
      <c r="E11">
        <v>2026</v>
      </c>
      <c r="F11" t="s">
        <v>23</v>
      </c>
      <c r="G11" t="s">
        <v>24</v>
      </c>
      <c r="H11" t="s">
        <v>25</v>
      </c>
      <c r="I11" t="s">
        <v>116</v>
      </c>
      <c r="J11" t="s">
        <v>117</v>
      </c>
      <c r="K11" t="s">
        <v>28</v>
      </c>
      <c r="L11" t="s">
        <v>29</v>
      </c>
      <c r="M11" t="s">
        <v>30</v>
      </c>
      <c r="N11" t="s">
        <v>31</v>
      </c>
      <c r="O11" t="s">
        <v>32</v>
      </c>
      <c r="P11" t="s">
        <v>33</v>
      </c>
      <c r="Q11" t="s">
        <v>118</v>
      </c>
      <c r="R11" t="s">
        <v>119</v>
      </c>
      <c r="S11" t="s">
        <v>47</v>
      </c>
      <c r="T11" t="s">
        <v>120</v>
      </c>
      <c r="U11" t="s">
        <v>121</v>
      </c>
      <c r="V11" t="s">
        <v>122</v>
      </c>
      <c r="W11">
        <v>0</v>
      </c>
    </row>
    <row r="12" spans="1:23" x14ac:dyDescent="0.3">
      <c r="A12">
        <v>49382841</v>
      </c>
      <c r="B12" s="1">
        <v>46054</v>
      </c>
      <c r="C12">
        <v>1</v>
      </c>
      <c r="D12">
        <v>2</v>
      </c>
      <c r="E12">
        <v>2026</v>
      </c>
      <c r="F12" t="s">
        <v>23</v>
      </c>
      <c r="G12" t="s">
        <v>24</v>
      </c>
      <c r="H12" t="s">
        <v>25</v>
      </c>
      <c r="I12" t="s">
        <v>123</v>
      </c>
      <c r="J12" t="s">
        <v>124</v>
      </c>
      <c r="K12" t="s">
        <v>28</v>
      </c>
      <c r="L12" t="s">
        <v>29</v>
      </c>
      <c r="M12" t="s">
        <v>30</v>
      </c>
      <c r="N12" t="s">
        <v>31</v>
      </c>
      <c r="O12" t="s">
        <v>32</v>
      </c>
      <c r="P12" t="s">
        <v>125</v>
      </c>
      <c r="Q12" t="s">
        <v>126</v>
      </c>
      <c r="R12" t="s">
        <v>127</v>
      </c>
      <c r="S12" t="s">
        <v>47</v>
      </c>
      <c r="T12" t="s">
        <v>101</v>
      </c>
      <c r="U12" t="s">
        <v>128</v>
      </c>
      <c r="V12" t="s">
        <v>129</v>
      </c>
      <c r="W12">
        <v>0</v>
      </c>
    </row>
    <row r="13" spans="1:23" x14ac:dyDescent="0.3">
      <c r="A13">
        <v>49512914</v>
      </c>
      <c r="B13" s="1">
        <v>46057</v>
      </c>
      <c r="C13">
        <v>4</v>
      </c>
      <c r="D13">
        <v>2</v>
      </c>
      <c r="E13">
        <v>2026</v>
      </c>
      <c r="F13" t="s">
        <v>23</v>
      </c>
      <c r="G13" t="s">
        <v>24</v>
      </c>
      <c r="H13" t="s">
        <v>25</v>
      </c>
      <c r="I13" t="s">
        <v>130</v>
      </c>
      <c r="J13" t="s">
        <v>131</v>
      </c>
      <c r="K13" t="s">
        <v>28</v>
      </c>
      <c r="L13" t="s">
        <v>29</v>
      </c>
      <c r="M13" t="s">
        <v>30</v>
      </c>
      <c r="N13" t="s">
        <v>31</v>
      </c>
      <c r="O13" t="s">
        <v>132</v>
      </c>
      <c r="P13" t="s">
        <v>133</v>
      </c>
      <c r="Q13" t="s">
        <v>134</v>
      </c>
      <c r="R13" t="s">
        <v>135</v>
      </c>
      <c r="S13" t="s">
        <v>36</v>
      </c>
      <c r="T13" t="s">
        <v>37</v>
      </c>
      <c r="U13" t="s">
        <v>38</v>
      </c>
      <c r="V13" t="s">
        <v>39</v>
      </c>
      <c r="W13">
        <v>3</v>
      </c>
    </row>
    <row r="14" spans="1:23" x14ac:dyDescent="0.3">
      <c r="A14">
        <v>49724557</v>
      </c>
      <c r="B14" s="1">
        <v>46062</v>
      </c>
      <c r="C14">
        <v>9</v>
      </c>
      <c r="D14">
        <v>2</v>
      </c>
      <c r="E14">
        <v>2026</v>
      </c>
      <c r="F14" t="s">
        <v>23</v>
      </c>
      <c r="G14" t="s">
        <v>24</v>
      </c>
      <c r="H14" t="s">
        <v>25</v>
      </c>
      <c r="I14" t="s">
        <v>136</v>
      </c>
      <c r="J14" t="s">
        <v>137</v>
      </c>
      <c r="K14" t="s">
        <v>28</v>
      </c>
      <c r="L14" t="s">
        <v>29</v>
      </c>
      <c r="M14" t="s">
        <v>30</v>
      </c>
      <c r="N14" t="s">
        <v>31</v>
      </c>
      <c r="O14" t="s">
        <v>138</v>
      </c>
      <c r="P14" t="s">
        <v>139</v>
      </c>
      <c r="Q14" t="s">
        <v>140</v>
      </c>
      <c r="R14" t="s">
        <v>141</v>
      </c>
      <c r="S14" t="s">
        <v>47</v>
      </c>
      <c r="T14" t="s">
        <v>48</v>
      </c>
      <c r="U14" t="s">
        <v>142</v>
      </c>
      <c r="V14" t="s">
        <v>143</v>
      </c>
      <c r="W14">
        <v>5</v>
      </c>
    </row>
    <row r="15" spans="1:23" x14ac:dyDescent="0.3">
      <c r="A15">
        <v>49724499</v>
      </c>
      <c r="B15" s="1">
        <v>46050</v>
      </c>
      <c r="C15">
        <v>28</v>
      </c>
      <c r="D15">
        <v>1</v>
      </c>
      <c r="E15">
        <v>2026</v>
      </c>
      <c r="F15" t="s">
        <v>23</v>
      </c>
      <c r="G15" t="s">
        <v>24</v>
      </c>
      <c r="H15" t="s">
        <v>25</v>
      </c>
      <c r="I15" t="s">
        <v>144</v>
      </c>
      <c r="J15" t="s">
        <v>145</v>
      </c>
      <c r="K15" t="s">
        <v>28</v>
      </c>
      <c r="L15" t="s">
        <v>29</v>
      </c>
      <c r="M15" t="s">
        <v>30</v>
      </c>
      <c r="N15" t="s">
        <v>31</v>
      </c>
      <c r="O15" t="s">
        <v>32</v>
      </c>
      <c r="P15" t="s">
        <v>33</v>
      </c>
      <c r="Q15" t="s">
        <v>146</v>
      </c>
      <c r="R15" t="s">
        <v>147</v>
      </c>
      <c r="S15" t="s">
        <v>47</v>
      </c>
      <c r="T15" t="s">
        <v>113</v>
      </c>
      <c r="U15" t="s">
        <v>148</v>
      </c>
      <c r="V15" t="s">
        <v>149</v>
      </c>
      <c r="W15">
        <v>6</v>
      </c>
    </row>
    <row r="16" spans="1:23" x14ac:dyDescent="0.3">
      <c r="A16">
        <v>49303987</v>
      </c>
      <c r="B16" s="1">
        <v>46054</v>
      </c>
      <c r="C16">
        <v>1</v>
      </c>
      <c r="D16">
        <v>2</v>
      </c>
      <c r="E16">
        <v>2026</v>
      </c>
      <c r="F16" t="s">
        <v>23</v>
      </c>
      <c r="G16" t="s">
        <v>24</v>
      </c>
      <c r="H16" t="s">
        <v>25</v>
      </c>
      <c r="I16" t="s">
        <v>150</v>
      </c>
      <c r="J16" t="s">
        <v>151</v>
      </c>
      <c r="K16" t="s">
        <v>28</v>
      </c>
      <c r="L16" t="s">
        <v>29</v>
      </c>
      <c r="M16" t="s">
        <v>30</v>
      </c>
      <c r="N16" t="s">
        <v>31</v>
      </c>
      <c r="O16" t="s">
        <v>32</v>
      </c>
      <c r="P16" t="s">
        <v>125</v>
      </c>
      <c r="Q16" t="s">
        <v>152</v>
      </c>
      <c r="R16" t="s">
        <v>153</v>
      </c>
      <c r="S16" t="s">
        <v>63</v>
      </c>
      <c r="T16" t="s">
        <v>154</v>
      </c>
      <c r="U16" t="s">
        <v>155</v>
      </c>
      <c r="V16" t="s">
        <v>156</v>
      </c>
      <c r="W16">
        <v>7</v>
      </c>
    </row>
    <row r="17" spans="1:23" x14ac:dyDescent="0.3">
      <c r="A17">
        <v>49724521</v>
      </c>
      <c r="B17" s="1">
        <v>46057</v>
      </c>
      <c r="C17">
        <v>4</v>
      </c>
      <c r="D17">
        <v>2</v>
      </c>
      <c r="E17">
        <v>2026</v>
      </c>
      <c r="F17" t="s">
        <v>23</v>
      </c>
      <c r="G17" t="s">
        <v>24</v>
      </c>
      <c r="H17" t="s">
        <v>25</v>
      </c>
      <c r="I17" t="s">
        <v>150</v>
      </c>
      <c r="J17" t="s">
        <v>151</v>
      </c>
      <c r="K17" t="s">
        <v>28</v>
      </c>
      <c r="L17" t="s">
        <v>29</v>
      </c>
      <c r="M17" t="s">
        <v>30</v>
      </c>
      <c r="N17" t="s">
        <v>31</v>
      </c>
      <c r="O17" t="s">
        <v>32</v>
      </c>
      <c r="P17" t="s">
        <v>125</v>
      </c>
      <c r="Q17" t="s">
        <v>152</v>
      </c>
      <c r="R17" t="s">
        <v>157</v>
      </c>
      <c r="S17" t="s">
        <v>36</v>
      </c>
      <c r="T17" t="s">
        <v>37</v>
      </c>
      <c r="U17" t="s">
        <v>38</v>
      </c>
      <c r="V17" t="s">
        <v>39</v>
      </c>
      <c r="W17">
        <v>8</v>
      </c>
    </row>
    <row r="18" spans="1:23" x14ac:dyDescent="0.3">
      <c r="A18">
        <v>49245976</v>
      </c>
      <c r="B18" s="1">
        <v>46052</v>
      </c>
      <c r="C18">
        <v>30</v>
      </c>
      <c r="D18">
        <v>1</v>
      </c>
      <c r="E18">
        <v>2026</v>
      </c>
      <c r="F18" t="s">
        <v>23</v>
      </c>
      <c r="G18" t="s">
        <v>24</v>
      </c>
      <c r="H18" t="s">
        <v>25</v>
      </c>
      <c r="I18" t="s">
        <v>158</v>
      </c>
      <c r="J18" t="s">
        <v>159</v>
      </c>
      <c r="K18" t="s">
        <v>28</v>
      </c>
      <c r="L18" t="s">
        <v>29</v>
      </c>
      <c r="M18" t="s">
        <v>30</v>
      </c>
      <c r="N18" t="s">
        <v>31</v>
      </c>
      <c r="O18" t="s">
        <v>160</v>
      </c>
      <c r="P18" t="s">
        <v>161</v>
      </c>
      <c r="Q18" t="s">
        <v>162</v>
      </c>
      <c r="R18" t="s">
        <v>163</v>
      </c>
      <c r="S18" t="s">
        <v>63</v>
      </c>
      <c r="T18" t="s">
        <v>164</v>
      </c>
      <c r="U18" t="s">
        <v>165</v>
      </c>
      <c r="V18" t="s">
        <v>166</v>
      </c>
      <c r="W18">
        <v>9</v>
      </c>
    </row>
    <row r="19" spans="1:23" x14ac:dyDescent="0.3">
      <c r="A19">
        <v>49304151</v>
      </c>
      <c r="B19" s="1">
        <v>46054</v>
      </c>
      <c r="C19">
        <v>1</v>
      </c>
      <c r="D19">
        <v>2</v>
      </c>
      <c r="E19">
        <v>2026</v>
      </c>
      <c r="F19" t="s">
        <v>23</v>
      </c>
      <c r="G19" t="s">
        <v>24</v>
      </c>
      <c r="H19" t="s">
        <v>25</v>
      </c>
      <c r="I19" t="s">
        <v>167</v>
      </c>
      <c r="J19" t="s">
        <v>168</v>
      </c>
      <c r="K19" t="s">
        <v>28</v>
      </c>
      <c r="L19" t="s">
        <v>29</v>
      </c>
      <c r="M19" t="s">
        <v>30</v>
      </c>
      <c r="N19" t="s">
        <v>31</v>
      </c>
      <c r="O19" t="s">
        <v>160</v>
      </c>
      <c r="P19" t="s">
        <v>161</v>
      </c>
      <c r="Q19" t="s">
        <v>169</v>
      </c>
      <c r="R19" t="s">
        <v>170</v>
      </c>
      <c r="S19" t="s">
        <v>63</v>
      </c>
      <c r="T19" t="s">
        <v>154</v>
      </c>
      <c r="U19" t="s">
        <v>155</v>
      </c>
      <c r="V19" t="s">
        <v>171</v>
      </c>
      <c r="W19">
        <v>2</v>
      </c>
    </row>
    <row r="20" spans="1:23" x14ac:dyDescent="0.3">
      <c r="A20">
        <v>49305140</v>
      </c>
      <c r="B20" s="1">
        <v>46053</v>
      </c>
      <c r="C20">
        <v>31</v>
      </c>
      <c r="D20">
        <v>1</v>
      </c>
      <c r="E20">
        <v>2026</v>
      </c>
      <c r="F20" t="s">
        <v>23</v>
      </c>
      <c r="G20" t="s">
        <v>24</v>
      </c>
      <c r="H20" t="s">
        <v>25</v>
      </c>
      <c r="I20" t="s">
        <v>172</v>
      </c>
      <c r="J20" t="s">
        <v>173</v>
      </c>
      <c r="K20" t="s">
        <v>28</v>
      </c>
      <c r="L20" t="s">
        <v>29</v>
      </c>
      <c r="M20" t="s">
        <v>30</v>
      </c>
      <c r="N20" t="s">
        <v>174</v>
      </c>
      <c r="O20" t="s">
        <v>175</v>
      </c>
      <c r="P20" t="s">
        <v>176</v>
      </c>
      <c r="Q20" t="s">
        <v>177</v>
      </c>
      <c r="R20" t="s">
        <v>178</v>
      </c>
      <c r="S20" t="s">
        <v>36</v>
      </c>
      <c r="T20" t="s">
        <v>179</v>
      </c>
      <c r="U20" t="s">
        <v>180</v>
      </c>
      <c r="V20" t="s">
        <v>181</v>
      </c>
      <c r="W20">
        <v>5</v>
      </c>
    </row>
    <row r="21" spans="1:23" x14ac:dyDescent="0.3">
      <c r="A21">
        <v>49962486</v>
      </c>
      <c r="B21" s="1">
        <v>46065</v>
      </c>
      <c r="C21">
        <v>12</v>
      </c>
      <c r="D21">
        <v>2</v>
      </c>
      <c r="E21">
        <v>2026</v>
      </c>
      <c r="F21" t="s">
        <v>23</v>
      </c>
      <c r="G21" t="s">
        <v>24</v>
      </c>
      <c r="H21" t="s">
        <v>25</v>
      </c>
      <c r="I21" t="s">
        <v>150</v>
      </c>
      <c r="J21" t="s">
        <v>151</v>
      </c>
      <c r="K21" t="s">
        <v>28</v>
      </c>
      <c r="L21" t="s">
        <v>29</v>
      </c>
      <c r="M21" t="s">
        <v>30</v>
      </c>
      <c r="N21" t="s">
        <v>31</v>
      </c>
      <c r="O21" t="s">
        <v>32</v>
      </c>
      <c r="P21" t="s">
        <v>125</v>
      </c>
      <c r="Q21" t="s">
        <v>152</v>
      </c>
      <c r="R21" t="s">
        <v>182</v>
      </c>
      <c r="S21" t="s">
        <v>47</v>
      </c>
      <c r="T21" t="s">
        <v>48</v>
      </c>
      <c r="U21" t="s">
        <v>183</v>
      </c>
      <c r="V21" t="s">
        <v>184</v>
      </c>
      <c r="W21">
        <v>5</v>
      </c>
    </row>
    <row r="22" spans="1:23" x14ac:dyDescent="0.3">
      <c r="A22">
        <v>49382840</v>
      </c>
      <c r="B22" s="1">
        <v>46054</v>
      </c>
      <c r="C22">
        <v>1</v>
      </c>
      <c r="D22">
        <v>2</v>
      </c>
      <c r="E22">
        <v>2026</v>
      </c>
      <c r="F22" t="s">
        <v>23</v>
      </c>
      <c r="G22" t="s">
        <v>24</v>
      </c>
      <c r="H22" t="s">
        <v>25</v>
      </c>
      <c r="I22" t="s">
        <v>150</v>
      </c>
      <c r="J22" t="s">
        <v>151</v>
      </c>
      <c r="K22" t="s">
        <v>28</v>
      </c>
      <c r="L22" t="s">
        <v>29</v>
      </c>
      <c r="M22" t="s">
        <v>30</v>
      </c>
      <c r="N22" t="s">
        <v>31</v>
      </c>
      <c r="O22" t="s">
        <v>32</v>
      </c>
      <c r="P22" t="s">
        <v>125</v>
      </c>
      <c r="Q22" t="s">
        <v>152</v>
      </c>
      <c r="R22" t="s">
        <v>185</v>
      </c>
      <c r="S22" t="s">
        <v>47</v>
      </c>
      <c r="T22" t="s">
        <v>101</v>
      </c>
      <c r="U22" t="s">
        <v>128</v>
      </c>
      <c r="V22" t="s">
        <v>186</v>
      </c>
      <c r="W22">
        <v>0</v>
      </c>
    </row>
    <row r="23" spans="1:23" x14ac:dyDescent="0.3">
      <c r="A23">
        <v>50031442</v>
      </c>
      <c r="B23" s="1">
        <v>46067</v>
      </c>
      <c r="C23">
        <v>14</v>
      </c>
      <c r="D23">
        <v>2</v>
      </c>
      <c r="E23">
        <v>2026</v>
      </c>
      <c r="F23" t="s">
        <v>51</v>
      </c>
      <c r="G23" t="s">
        <v>52</v>
      </c>
      <c r="H23" t="s">
        <v>53</v>
      </c>
      <c r="I23" t="s">
        <v>54</v>
      </c>
      <c r="J23" t="s">
        <v>55</v>
      </c>
      <c r="K23" t="s">
        <v>28</v>
      </c>
      <c r="L23" t="s">
        <v>56</v>
      </c>
      <c r="M23" t="s">
        <v>57</v>
      </c>
      <c r="N23" t="s">
        <v>58</v>
      </c>
      <c r="O23" t="s">
        <v>59</v>
      </c>
      <c r="P23" t="s">
        <v>60</v>
      </c>
      <c r="Q23" t="s">
        <v>61</v>
      </c>
      <c r="R23" t="s">
        <v>187</v>
      </c>
      <c r="S23" t="s">
        <v>47</v>
      </c>
      <c r="T23" t="s">
        <v>113</v>
      </c>
      <c r="U23" t="s">
        <v>188</v>
      </c>
      <c r="V23" t="s">
        <v>189</v>
      </c>
      <c r="W23">
        <v>0</v>
      </c>
    </row>
    <row r="24" spans="1:23" x14ac:dyDescent="0.3">
      <c r="A24">
        <v>48712588</v>
      </c>
      <c r="B24" s="1">
        <v>46041</v>
      </c>
      <c r="C24">
        <v>19</v>
      </c>
      <c r="D24">
        <v>1</v>
      </c>
      <c r="E24">
        <v>2026</v>
      </c>
      <c r="F24" t="s">
        <v>23</v>
      </c>
      <c r="G24" t="s">
        <v>24</v>
      </c>
      <c r="H24" t="s">
        <v>25</v>
      </c>
      <c r="I24" t="s">
        <v>40</v>
      </c>
      <c r="J24" t="s">
        <v>41</v>
      </c>
      <c r="K24" t="s">
        <v>28</v>
      </c>
      <c r="L24" t="s">
        <v>29</v>
      </c>
      <c r="M24" t="s">
        <v>30</v>
      </c>
      <c r="N24" t="s">
        <v>42</v>
      </c>
      <c r="O24" t="s">
        <v>43</v>
      </c>
      <c r="P24" t="s">
        <v>44</v>
      </c>
      <c r="Q24" t="s">
        <v>45</v>
      </c>
      <c r="R24" t="s">
        <v>190</v>
      </c>
      <c r="S24" t="s">
        <v>47</v>
      </c>
      <c r="T24" t="s">
        <v>48</v>
      </c>
      <c r="U24" t="s">
        <v>191</v>
      </c>
      <c r="V24" t="s">
        <v>192</v>
      </c>
      <c r="W24">
        <v>5</v>
      </c>
    </row>
    <row r="25" spans="1:23" x14ac:dyDescent="0.3">
      <c r="A25">
        <v>49298829</v>
      </c>
      <c r="B25" s="1">
        <v>46053</v>
      </c>
      <c r="C25">
        <v>31</v>
      </c>
      <c r="D25">
        <v>1</v>
      </c>
      <c r="E25">
        <v>2026</v>
      </c>
      <c r="F25" t="s">
        <v>23</v>
      </c>
      <c r="G25" t="s">
        <v>24</v>
      </c>
      <c r="H25" t="s">
        <v>25</v>
      </c>
      <c r="I25" t="s">
        <v>26</v>
      </c>
      <c r="J25" t="s">
        <v>27</v>
      </c>
      <c r="K25" t="s">
        <v>28</v>
      </c>
      <c r="L25" t="s">
        <v>29</v>
      </c>
      <c r="M25" t="s">
        <v>30</v>
      </c>
      <c r="N25" t="s">
        <v>31</v>
      </c>
      <c r="O25" t="s">
        <v>32</v>
      </c>
      <c r="P25" t="s">
        <v>33</v>
      </c>
      <c r="Q25" t="s">
        <v>34</v>
      </c>
      <c r="R25" t="s">
        <v>193</v>
      </c>
      <c r="S25" t="s">
        <v>47</v>
      </c>
      <c r="T25" t="s">
        <v>120</v>
      </c>
      <c r="U25" t="s">
        <v>194</v>
      </c>
      <c r="V25" t="s">
        <v>195</v>
      </c>
      <c r="W25">
        <v>4</v>
      </c>
    </row>
    <row r="26" spans="1:23" x14ac:dyDescent="0.3">
      <c r="A26">
        <v>49961941</v>
      </c>
      <c r="B26" s="1">
        <v>46065</v>
      </c>
      <c r="C26">
        <v>12</v>
      </c>
      <c r="D26">
        <v>2</v>
      </c>
      <c r="E26">
        <v>2026</v>
      </c>
      <c r="F26" t="s">
        <v>23</v>
      </c>
      <c r="G26" t="s">
        <v>24</v>
      </c>
      <c r="H26" t="s">
        <v>25</v>
      </c>
      <c r="I26" t="s">
        <v>158</v>
      </c>
      <c r="J26" t="s">
        <v>159</v>
      </c>
      <c r="K26" t="s">
        <v>28</v>
      </c>
      <c r="L26" t="s">
        <v>29</v>
      </c>
      <c r="M26" t="s">
        <v>30</v>
      </c>
      <c r="N26" t="s">
        <v>31</v>
      </c>
      <c r="O26" t="s">
        <v>160</v>
      </c>
      <c r="P26" t="s">
        <v>161</v>
      </c>
      <c r="Q26" t="s">
        <v>162</v>
      </c>
      <c r="R26" t="s">
        <v>196</v>
      </c>
      <c r="S26" t="s">
        <v>63</v>
      </c>
      <c r="T26" t="s">
        <v>164</v>
      </c>
      <c r="U26" t="s">
        <v>197</v>
      </c>
      <c r="V26" t="s">
        <v>198</v>
      </c>
      <c r="W26">
        <v>6</v>
      </c>
    </row>
    <row r="27" spans="1:23" x14ac:dyDescent="0.3">
      <c r="A27">
        <v>50032310</v>
      </c>
      <c r="B27" s="1">
        <v>46068</v>
      </c>
      <c r="C27">
        <v>15</v>
      </c>
      <c r="D27">
        <v>2</v>
      </c>
      <c r="E27">
        <v>2026</v>
      </c>
      <c r="F27" t="s">
        <v>23</v>
      </c>
      <c r="G27" t="s">
        <v>24</v>
      </c>
      <c r="H27" t="s">
        <v>25</v>
      </c>
      <c r="I27" t="s">
        <v>75</v>
      </c>
      <c r="J27" t="s">
        <v>76</v>
      </c>
      <c r="K27" t="s">
        <v>28</v>
      </c>
      <c r="L27" t="s">
        <v>29</v>
      </c>
      <c r="M27" t="s">
        <v>30</v>
      </c>
      <c r="N27" t="s">
        <v>31</v>
      </c>
      <c r="O27" t="s">
        <v>32</v>
      </c>
      <c r="P27" t="s">
        <v>69</v>
      </c>
      <c r="Q27" t="s">
        <v>77</v>
      </c>
      <c r="R27" t="s">
        <v>199</v>
      </c>
      <c r="S27" t="s">
        <v>63</v>
      </c>
      <c r="T27" t="s">
        <v>164</v>
      </c>
      <c r="U27" t="s">
        <v>200</v>
      </c>
      <c r="V27" t="s">
        <v>201</v>
      </c>
      <c r="W27">
        <v>2</v>
      </c>
    </row>
    <row r="28" spans="1:23" x14ac:dyDescent="0.3">
      <c r="A28">
        <v>48995014</v>
      </c>
      <c r="B28" s="1">
        <v>46045</v>
      </c>
      <c r="C28">
        <v>23</v>
      </c>
      <c r="D28">
        <v>1</v>
      </c>
      <c r="E28">
        <v>2026</v>
      </c>
      <c r="F28" t="s">
        <v>23</v>
      </c>
      <c r="G28" t="s">
        <v>24</v>
      </c>
      <c r="H28" t="s">
        <v>25</v>
      </c>
      <c r="I28" t="s">
        <v>96</v>
      </c>
      <c r="J28" t="s">
        <v>97</v>
      </c>
      <c r="K28" t="s">
        <v>28</v>
      </c>
      <c r="L28" t="s">
        <v>29</v>
      </c>
      <c r="M28" t="s">
        <v>30</v>
      </c>
      <c r="N28" t="s">
        <v>31</v>
      </c>
      <c r="O28" t="s">
        <v>32</v>
      </c>
      <c r="P28" t="s">
        <v>98</v>
      </c>
      <c r="Q28" t="s">
        <v>99</v>
      </c>
      <c r="R28" t="s">
        <v>202</v>
      </c>
      <c r="S28" t="s">
        <v>47</v>
      </c>
      <c r="T28" t="s">
        <v>48</v>
      </c>
      <c r="U28" t="s">
        <v>203</v>
      </c>
      <c r="V28" t="s">
        <v>204</v>
      </c>
      <c r="W28">
        <v>7</v>
      </c>
    </row>
    <row r="29" spans="1:23" x14ac:dyDescent="0.3">
      <c r="A29">
        <v>49888485</v>
      </c>
      <c r="B29" s="1">
        <v>46064</v>
      </c>
      <c r="C29">
        <v>11</v>
      </c>
      <c r="D29">
        <v>2</v>
      </c>
      <c r="E29">
        <v>2026</v>
      </c>
      <c r="F29" t="s">
        <v>23</v>
      </c>
      <c r="G29" t="s">
        <v>24</v>
      </c>
      <c r="H29" t="s">
        <v>25</v>
      </c>
      <c r="I29" t="s">
        <v>40</v>
      </c>
      <c r="J29" t="s">
        <v>41</v>
      </c>
      <c r="K29" t="s">
        <v>28</v>
      </c>
      <c r="L29" t="s">
        <v>29</v>
      </c>
      <c r="M29" t="s">
        <v>30</v>
      </c>
      <c r="N29" t="s">
        <v>42</v>
      </c>
      <c r="O29" t="s">
        <v>43</v>
      </c>
      <c r="P29" t="s">
        <v>44</v>
      </c>
      <c r="Q29" t="s">
        <v>45</v>
      </c>
      <c r="R29" t="s">
        <v>205</v>
      </c>
      <c r="S29" t="s">
        <v>47</v>
      </c>
      <c r="T29" t="s">
        <v>113</v>
      </c>
      <c r="U29" t="s">
        <v>114</v>
      </c>
      <c r="V29" t="s">
        <v>115</v>
      </c>
      <c r="W29">
        <v>6</v>
      </c>
    </row>
    <row r="30" spans="1:23" x14ac:dyDescent="0.3">
      <c r="A30">
        <v>49297869</v>
      </c>
      <c r="B30" s="1">
        <v>46053</v>
      </c>
      <c r="C30">
        <v>31</v>
      </c>
      <c r="D30">
        <v>1</v>
      </c>
      <c r="E30">
        <v>2026</v>
      </c>
      <c r="F30" t="s">
        <v>51</v>
      </c>
      <c r="G30" t="s">
        <v>52</v>
      </c>
      <c r="H30" t="s">
        <v>53</v>
      </c>
      <c r="I30" t="s">
        <v>206</v>
      </c>
      <c r="J30" t="s">
        <v>207</v>
      </c>
      <c r="K30" t="s">
        <v>28</v>
      </c>
      <c r="L30" t="s">
        <v>56</v>
      </c>
      <c r="M30" t="s">
        <v>57</v>
      </c>
      <c r="N30" t="s">
        <v>58</v>
      </c>
      <c r="O30" t="s">
        <v>59</v>
      </c>
      <c r="P30" t="s">
        <v>60</v>
      </c>
      <c r="Q30" t="s">
        <v>208</v>
      </c>
      <c r="R30" t="s">
        <v>209</v>
      </c>
      <c r="S30" t="s">
        <v>47</v>
      </c>
      <c r="T30" t="s">
        <v>210</v>
      </c>
      <c r="U30" t="s">
        <v>211</v>
      </c>
      <c r="V30" t="s">
        <v>212</v>
      </c>
      <c r="W30">
        <v>2</v>
      </c>
    </row>
    <row r="31" spans="1:23" x14ac:dyDescent="0.3">
      <c r="A31">
        <v>50031445</v>
      </c>
      <c r="B31" s="1">
        <v>46067</v>
      </c>
      <c r="C31">
        <v>14</v>
      </c>
      <c r="D31">
        <v>2</v>
      </c>
      <c r="E31">
        <v>2026</v>
      </c>
      <c r="F31" t="s">
        <v>51</v>
      </c>
      <c r="G31" t="s">
        <v>52</v>
      </c>
      <c r="H31" t="s">
        <v>53</v>
      </c>
      <c r="I31" t="s">
        <v>213</v>
      </c>
      <c r="J31" t="s">
        <v>214</v>
      </c>
      <c r="K31" t="s">
        <v>28</v>
      </c>
      <c r="L31" t="s">
        <v>56</v>
      </c>
      <c r="M31" t="s">
        <v>57</v>
      </c>
      <c r="N31" t="s">
        <v>58</v>
      </c>
      <c r="O31" t="s">
        <v>59</v>
      </c>
      <c r="P31" t="s">
        <v>60</v>
      </c>
      <c r="Q31" t="s">
        <v>215</v>
      </c>
      <c r="R31" t="s">
        <v>216</v>
      </c>
      <c r="S31" t="s">
        <v>47</v>
      </c>
      <c r="T31" t="s">
        <v>113</v>
      </c>
      <c r="U31" t="s">
        <v>188</v>
      </c>
      <c r="V31" t="s">
        <v>189</v>
      </c>
      <c r="W31">
        <v>1</v>
      </c>
    </row>
    <row r="32" spans="1:23" x14ac:dyDescent="0.3">
      <c r="A32">
        <v>50032446</v>
      </c>
      <c r="B32" s="1">
        <v>46068</v>
      </c>
      <c r="C32">
        <v>15</v>
      </c>
      <c r="D32">
        <v>2</v>
      </c>
      <c r="E32">
        <v>2026</v>
      </c>
      <c r="F32" t="s">
        <v>23</v>
      </c>
      <c r="G32" t="s">
        <v>24</v>
      </c>
      <c r="H32" t="s">
        <v>25</v>
      </c>
      <c r="I32" t="s">
        <v>217</v>
      </c>
      <c r="J32" t="s">
        <v>218</v>
      </c>
      <c r="K32" t="s">
        <v>28</v>
      </c>
      <c r="L32" t="s">
        <v>29</v>
      </c>
      <c r="M32" t="s">
        <v>30</v>
      </c>
      <c r="N32" t="s">
        <v>31</v>
      </c>
      <c r="O32" t="s">
        <v>32</v>
      </c>
      <c r="P32" t="s">
        <v>125</v>
      </c>
      <c r="Q32" t="s">
        <v>219</v>
      </c>
      <c r="R32" t="s">
        <v>220</v>
      </c>
      <c r="S32" t="s">
        <v>63</v>
      </c>
      <c r="T32" t="s">
        <v>164</v>
      </c>
      <c r="U32" t="s">
        <v>200</v>
      </c>
      <c r="V32" t="s">
        <v>201</v>
      </c>
      <c r="W32">
        <v>0</v>
      </c>
    </row>
    <row r="33" spans="1:23" x14ac:dyDescent="0.3">
      <c r="A33">
        <v>49671660</v>
      </c>
      <c r="B33" s="1">
        <v>46062</v>
      </c>
      <c r="C33">
        <v>9</v>
      </c>
      <c r="D33">
        <v>2</v>
      </c>
      <c r="E33">
        <v>2026</v>
      </c>
      <c r="F33" t="s">
        <v>23</v>
      </c>
      <c r="G33" t="s">
        <v>24</v>
      </c>
      <c r="H33" t="s">
        <v>25</v>
      </c>
      <c r="I33" t="s">
        <v>123</v>
      </c>
      <c r="J33" t="s">
        <v>124</v>
      </c>
      <c r="K33" t="s">
        <v>28</v>
      </c>
      <c r="L33" t="s">
        <v>29</v>
      </c>
      <c r="M33" t="s">
        <v>30</v>
      </c>
      <c r="N33" t="s">
        <v>31</v>
      </c>
      <c r="O33" t="s">
        <v>32</v>
      </c>
      <c r="P33" t="s">
        <v>125</v>
      </c>
      <c r="Q33" t="s">
        <v>126</v>
      </c>
      <c r="R33" t="s">
        <v>221</v>
      </c>
      <c r="S33" t="s">
        <v>47</v>
      </c>
      <c r="T33" t="s">
        <v>48</v>
      </c>
      <c r="U33" t="s">
        <v>142</v>
      </c>
      <c r="V33" t="s">
        <v>143</v>
      </c>
      <c r="W33">
        <v>0</v>
      </c>
    </row>
    <row r="34" spans="1:23" x14ac:dyDescent="0.3">
      <c r="A34">
        <v>49298509</v>
      </c>
      <c r="B34" s="1">
        <v>46053</v>
      </c>
      <c r="C34">
        <v>31</v>
      </c>
      <c r="D34">
        <v>1</v>
      </c>
      <c r="E34">
        <v>2026</v>
      </c>
      <c r="F34" t="s">
        <v>23</v>
      </c>
      <c r="G34" t="s">
        <v>24</v>
      </c>
      <c r="H34" t="s">
        <v>25</v>
      </c>
      <c r="I34" t="s">
        <v>96</v>
      </c>
      <c r="J34" t="s">
        <v>97</v>
      </c>
      <c r="K34" t="s">
        <v>28</v>
      </c>
      <c r="L34" t="s">
        <v>29</v>
      </c>
      <c r="M34" t="s">
        <v>30</v>
      </c>
      <c r="N34" t="s">
        <v>31</v>
      </c>
      <c r="O34" t="s">
        <v>32</v>
      </c>
      <c r="P34" t="s">
        <v>98</v>
      </c>
      <c r="Q34" t="s">
        <v>99</v>
      </c>
      <c r="R34" t="s">
        <v>222</v>
      </c>
      <c r="S34" t="s">
        <v>47</v>
      </c>
      <c r="T34" t="s">
        <v>120</v>
      </c>
      <c r="U34" t="s">
        <v>194</v>
      </c>
      <c r="V34" t="s">
        <v>223</v>
      </c>
      <c r="W34">
        <v>5</v>
      </c>
    </row>
    <row r="35" spans="1:23" x14ac:dyDescent="0.3">
      <c r="A35">
        <v>49512699</v>
      </c>
      <c r="B35" s="1">
        <v>46057</v>
      </c>
      <c r="C35">
        <v>4</v>
      </c>
      <c r="D35">
        <v>2</v>
      </c>
      <c r="E35">
        <v>2026</v>
      </c>
      <c r="F35" t="s">
        <v>23</v>
      </c>
      <c r="G35" t="s">
        <v>24</v>
      </c>
      <c r="H35" t="s">
        <v>25</v>
      </c>
      <c r="I35" t="s">
        <v>224</v>
      </c>
      <c r="J35" t="s">
        <v>225</v>
      </c>
      <c r="K35" t="s">
        <v>28</v>
      </c>
      <c r="L35" t="s">
        <v>29</v>
      </c>
      <c r="M35" t="s">
        <v>30</v>
      </c>
      <c r="N35" t="s">
        <v>31</v>
      </c>
      <c r="O35" t="s">
        <v>132</v>
      </c>
      <c r="P35" t="s">
        <v>226</v>
      </c>
      <c r="Q35" t="s">
        <v>227</v>
      </c>
      <c r="R35" t="s">
        <v>228</v>
      </c>
      <c r="S35" t="s">
        <v>63</v>
      </c>
      <c r="T35" t="s">
        <v>164</v>
      </c>
      <c r="U35" t="s">
        <v>197</v>
      </c>
      <c r="V35" t="s">
        <v>229</v>
      </c>
      <c r="W35">
        <v>0</v>
      </c>
    </row>
    <row r="36" spans="1:23" x14ac:dyDescent="0.3">
      <c r="A36">
        <v>49301458</v>
      </c>
      <c r="B36" s="1">
        <v>46053</v>
      </c>
      <c r="C36">
        <v>31</v>
      </c>
      <c r="D36">
        <v>1</v>
      </c>
      <c r="E36">
        <v>2026</v>
      </c>
      <c r="F36" t="s">
        <v>23</v>
      </c>
      <c r="G36" t="s">
        <v>24</v>
      </c>
      <c r="H36" t="s">
        <v>25</v>
      </c>
      <c r="I36" t="s">
        <v>230</v>
      </c>
      <c r="J36" t="s">
        <v>231</v>
      </c>
      <c r="K36" t="s">
        <v>28</v>
      </c>
      <c r="L36" t="s">
        <v>29</v>
      </c>
      <c r="M36" t="s">
        <v>30</v>
      </c>
      <c r="N36" t="s">
        <v>174</v>
      </c>
      <c r="O36" t="s">
        <v>175</v>
      </c>
      <c r="P36" t="s">
        <v>176</v>
      </c>
      <c r="Q36" t="s">
        <v>177</v>
      </c>
      <c r="R36" t="s">
        <v>232</v>
      </c>
      <c r="S36" t="s">
        <v>47</v>
      </c>
      <c r="T36" t="s">
        <v>120</v>
      </c>
      <c r="U36" t="s">
        <v>233</v>
      </c>
      <c r="V36" t="s">
        <v>234</v>
      </c>
      <c r="W36">
        <v>9</v>
      </c>
    </row>
    <row r="37" spans="1:23" x14ac:dyDescent="0.3">
      <c r="A37">
        <v>49622604</v>
      </c>
      <c r="B37" s="1">
        <v>46053</v>
      </c>
      <c r="C37">
        <v>31</v>
      </c>
      <c r="D37">
        <v>1</v>
      </c>
      <c r="E37">
        <v>2026</v>
      </c>
      <c r="F37" t="s">
        <v>51</v>
      </c>
      <c r="G37" t="s">
        <v>52</v>
      </c>
      <c r="H37" t="s">
        <v>53</v>
      </c>
      <c r="I37" t="s">
        <v>213</v>
      </c>
      <c r="J37" t="s">
        <v>214</v>
      </c>
      <c r="K37" t="s">
        <v>28</v>
      </c>
      <c r="L37" t="s">
        <v>56</v>
      </c>
      <c r="M37" t="s">
        <v>57</v>
      </c>
      <c r="N37" t="s">
        <v>58</v>
      </c>
      <c r="O37" t="s">
        <v>59</v>
      </c>
      <c r="P37" t="s">
        <v>60</v>
      </c>
      <c r="Q37" t="s">
        <v>215</v>
      </c>
      <c r="R37" t="s">
        <v>62</v>
      </c>
      <c r="S37" t="s">
        <v>63</v>
      </c>
      <c r="T37" t="s">
        <v>64</v>
      </c>
      <c r="U37" t="s">
        <v>65</v>
      </c>
      <c r="V37" t="s">
        <v>66</v>
      </c>
      <c r="W37">
        <v>6</v>
      </c>
    </row>
    <row r="38" spans="1:23" x14ac:dyDescent="0.3">
      <c r="A38">
        <v>48741153</v>
      </c>
      <c r="B38" s="1">
        <v>46044</v>
      </c>
      <c r="C38">
        <v>22</v>
      </c>
      <c r="D38">
        <v>1</v>
      </c>
      <c r="E38">
        <v>2026</v>
      </c>
      <c r="F38" t="s">
        <v>23</v>
      </c>
      <c r="G38" t="s">
        <v>24</v>
      </c>
      <c r="H38" t="s">
        <v>25</v>
      </c>
      <c r="I38" t="s">
        <v>235</v>
      </c>
      <c r="J38" t="s">
        <v>236</v>
      </c>
      <c r="K38" t="s">
        <v>28</v>
      </c>
      <c r="L38" t="s">
        <v>29</v>
      </c>
      <c r="M38" t="s">
        <v>30</v>
      </c>
      <c r="N38" t="s">
        <v>31</v>
      </c>
      <c r="O38" t="s">
        <v>32</v>
      </c>
      <c r="P38" t="s">
        <v>237</v>
      </c>
      <c r="Q38" t="s">
        <v>238</v>
      </c>
      <c r="R38" t="s">
        <v>50</v>
      </c>
      <c r="S38" t="s">
        <v>47</v>
      </c>
      <c r="T38" t="s">
        <v>48</v>
      </c>
      <c r="U38" t="s">
        <v>49</v>
      </c>
      <c r="V38" t="s">
        <v>50</v>
      </c>
      <c r="W38">
        <v>5</v>
      </c>
    </row>
    <row r="39" spans="1:23" x14ac:dyDescent="0.3">
      <c r="A39">
        <v>49962482</v>
      </c>
      <c r="B39" s="1">
        <v>46065</v>
      </c>
      <c r="C39">
        <v>12</v>
      </c>
      <c r="D39">
        <v>2</v>
      </c>
      <c r="E39">
        <v>2026</v>
      </c>
      <c r="F39" t="s">
        <v>23</v>
      </c>
      <c r="G39" t="s">
        <v>24</v>
      </c>
      <c r="H39" t="s">
        <v>25</v>
      </c>
      <c r="I39" t="s">
        <v>96</v>
      </c>
      <c r="J39" t="s">
        <v>97</v>
      </c>
      <c r="K39" t="s">
        <v>28</v>
      </c>
      <c r="L39" t="s">
        <v>29</v>
      </c>
      <c r="M39" t="s">
        <v>30</v>
      </c>
      <c r="N39" t="s">
        <v>31</v>
      </c>
      <c r="O39" t="s">
        <v>32</v>
      </c>
      <c r="P39" t="s">
        <v>98</v>
      </c>
      <c r="Q39" t="s">
        <v>99</v>
      </c>
      <c r="R39" t="s">
        <v>239</v>
      </c>
      <c r="S39" t="s">
        <v>47</v>
      </c>
      <c r="T39" t="s">
        <v>48</v>
      </c>
      <c r="U39" t="s">
        <v>183</v>
      </c>
      <c r="V39" t="s">
        <v>184</v>
      </c>
      <c r="W39">
        <v>1</v>
      </c>
    </row>
    <row r="40" spans="1:23" x14ac:dyDescent="0.3">
      <c r="A40">
        <v>50192006</v>
      </c>
      <c r="B40" s="1">
        <v>46073</v>
      </c>
      <c r="C40">
        <v>20</v>
      </c>
      <c r="D40">
        <v>2</v>
      </c>
      <c r="E40">
        <v>2026</v>
      </c>
      <c r="F40" t="s">
        <v>51</v>
      </c>
      <c r="G40" t="s">
        <v>52</v>
      </c>
      <c r="H40" t="s">
        <v>53</v>
      </c>
      <c r="I40" t="s">
        <v>213</v>
      </c>
      <c r="J40" t="s">
        <v>214</v>
      </c>
      <c r="K40" t="s">
        <v>28</v>
      </c>
      <c r="L40" t="s">
        <v>56</v>
      </c>
      <c r="M40" t="s">
        <v>57</v>
      </c>
      <c r="N40" t="s">
        <v>58</v>
      </c>
      <c r="O40" t="s">
        <v>59</v>
      </c>
      <c r="P40" t="s">
        <v>60</v>
      </c>
      <c r="Q40" t="s">
        <v>215</v>
      </c>
      <c r="R40" t="s">
        <v>240</v>
      </c>
      <c r="S40" t="s">
        <v>47</v>
      </c>
      <c r="T40" t="s">
        <v>241</v>
      </c>
      <c r="U40" t="s">
        <v>242</v>
      </c>
      <c r="V40" t="s">
        <v>243</v>
      </c>
      <c r="W40">
        <v>0</v>
      </c>
    </row>
    <row r="41" spans="1:23" x14ac:dyDescent="0.3">
      <c r="A41">
        <v>48653539</v>
      </c>
      <c r="B41" s="1">
        <v>46036</v>
      </c>
      <c r="C41">
        <v>14</v>
      </c>
      <c r="D41">
        <v>1</v>
      </c>
      <c r="E41">
        <v>2026</v>
      </c>
      <c r="F41" t="s">
        <v>23</v>
      </c>
      <c r="G41" t="s">
        <v>24</v>
      </c>
      <c r="H41" t="s">
        <v>25</v>
      </c>
      <c r="I41" t="s">
        <v>244</v>
      </c>
      <c r="J41" t="s">
        <v>245</v>
      </c>
      <c r="K41" t="s">
        <v>28</v>
      </c>
      <c r="L41" t="s">
        <v>29</v>
      </c>
      <c r="M41" t="s">
        <v>30</v>
      </c>
      <c r="N41" t="s">
        <v>31</v>
      </c>
      <c r="O41" t="s">
        <v>138</v>
      </c>
      <c r="P41" t="s">
        <v>246</v>
      </c>
      <c r="Q41" t="s">
        <v>247</v>
      </c>
      <c r="R41" t="s">
        <v>248</v>
      </c>
      <c r="S41" t="s">
        <v>36</v>
      </c>
      <c r="T41" t="s">
        <v>37</v>
      </c>
      <c r="U41" t="s">
        <v>249</v>
      </c>
      <c r="V41" t="s">
        <v>250</v>
      </c>
      <c r="W41">
        <v>8</v>
      </c>
    </row>
    <row r="42" spans="1:23" x14ac:dyDescent="0.3">
      <c r="A42">
        <v>49620068</v>
      </c>
      <c r="B42" s="1">
        <v>46059</v>
      </c>
      <c r="C42">
        <v>6</v>
      </c>
      <c r="D42">
        <v>2</v>
      </c>
      <c r="E42">
        <v>2026</v>
      </c>
      <c r="F42" t="s">
        <v>23</v>
      </c>
      <c r="G42" t="s">
        <v>24</v>
      </c>
      <c r="H42" t="s">
        <v>25</v>
      </c>
      <c r="I42" t="s">
        <v>251</v>
      </c>
      <c r="J42" t="s">
        <v>252</v>
      </c>
      <c r="K42" t="s">
        <v>28</v>
      </c>
      <c r="L42" t="s">
        <v>29</v>
      </c>
      <c r="M42" t="s">
        <v>30</v>
      </c>
      <c r="N42" t="s">
        <v>31</v>
      </c>
      <c r="O42" t="s">
        <v>32</v>
      </c>
      <c r="P42" t="s">
        <v>125</v>
      </c>
      <c r="Q42" t="s">
        <v>253</v>
      </c>
      <c r="R42" t="s">
        <v>254</v>
      </c>
      <c r="S42" t="s">
        <v>47</v>
      </c>
      <c r="T42" t="s">
        <v>113</v>
      </c>
      <c r="U42" t="s">
        <v>255</v>
      </c>
      <c r="V42" t="s">
        <v>256</v>
      </c>
      <c r="W42">
        <v>9</v>
      </c>
    </row>
    <row r="43" spans="1:23" x14ac:dyDescent="0.3">
      <c r="A43">
        <v>49620071</v>
      </c>
      <c r="B43" s="1">
        <v>46059</v>
      </c>
      <c r="C43">
        <v>6</v>
      </c>
      <c r="D43">
        <v>2</v>
      </c>
      <c r="E43">
        <v>2026</v>
      </c>
      <c r="F43" t="s">
        <v>23</v>
      </c>
      <c r="G43" t="s">
        <v>24</v>
      </c>
      <c r="H43" t="s">
        <v>25</v>
      </c>
      <c r="I43" t="s">
        <v>144</v>
      </c>
      <c r="J43" t="s">
        <v>145</v>
      </c>
      <c r="K43" t="s">
        <v>28</v>
      </c>
      <c r="L43" t="s">
        <v>29</v>
      </c>
      <c r="M43" t="s">
        <v>30</v>
      </c>
      <c r="N43" t="s">
        <v>31</v>
      </c>
      <c r="O43" t="s">
        <v>32</v>
      </c>
      <c r="P43" t="s">
        <v>33</v>
      </c>
      <c r="Q43" t="s">
        <v>146</v>
      </c>
      <c r="R43" t="s">
        <v>257</v>
      </c>
      <c r="S43" t="s">
        <v>47</v>
      </c>
      <c r="T43" t="s">
        <v>113</v>
      </c>
      <c r="U43" t="s">
        <v>255</v>
      </c>
      <c r="V43" t="s">
        <v>256</v>
      </c>
      <c r="W43">
        <v>0</v>
      </c>
    </row>
    <row r="44" spans="1:23" x14ac:dyDescent="0.3">
      <c r="A44">
        <v>49620081</v>
      </c>
      <c r="B44" s="1">
        <v>46059</v>
      </c>
      <c r="C44">
        <v>6</v>
      </c>
      <c r="D44">
        <v>2</v>
      </c>
      <c r="E44">
        <v>2026</v>
      </c>
      <c r="F44" t="s">
        <v>23</v>
      </c>
      <c r="G44" t="s">
        <v>24</v>
      </c>
      <c r="H44" t="s">
        <v>25</v>
      </c>
      <c r="I44" t="s">
        <v>258</v>
      </c>
      <c r="J44" t="s">
        <v>259</v>
      </c>
      <c r="K44" t="s">
        <v>28</v>
      </c>
      <c r="L44" t="s">
        <v>29</v>
      </c>
      <c r="M44" t="s">
        <v>30</v>
      </c>
      <c r="N44" t="s">
        <v>31</v>
      </c>
      <c r="O44" t="s">
        <v>32</v>
      </c>
      <c r="P44" t="s">
        <v>260</v>
      </c>
      <c r="Q44" t="s">
        <v>261</v>
      </c>
      <c r="R44" t="s">
        <v>262</v>
      </c>
      <c r="S44" t="s">
        <v>47</v>
      </c>
      <c r="T44" t="s">
        <v>120</v>
      </c>
      <c r="U44" t="s">
        <v>263</v>
      </c>
      <c r="V44" t="s">
        <v>264</v>
      </c>
      <c r="W44">
        <v>5</v>
      </c>
    </row>
    <row r="45" spans="1:23" x14ac:dyDescent="0.3">
      <c r="A45">
        <v>49512902</v>
      </c>
      <c r="B45" s="1">
        <v>46057</v>
      </c>
      <c r="C45">
        <v>4</v>
      </c>
      <c r="D45">
        <v>2</v>
      </c>
      <c r="E45">
        <v>2026</v>
      </c>
      <c r="F45" t="s">
        <v>23</v>
      </c>
      <c r="G45" t="s">
        <v>24</v>
      </c>
      <c r="H45" t="s">
        <v>25</v>
      </c>
      <c r="I45" t="s">
        <v>235</v>
      </c>
      <c r="J45" t="s">
        <v>236</v>
      </c>
      <c r="K45" t="s">
        <v>28</v>
      </c>
      <c r="L45" t="s">
        <v>29</v>
      </c>
      <c r="M45" t="s">
        <v>30</v>
      </c>
      <c r="N45" t="s">
        <v>31</v>
      </c>
      <c r="O45" t="s">
        <v>32</v>
      </c>
      <c r="P45" t="s">
        <v>237</v>
      </c>
      <c r="Q45" t="s">
        <v>238</v>
      </c>
      <c r="R45" t="s">
        <v>265</v>
      </c>
      <c r="S45" t="s">
        <v>36</v>
      </c>
      <c r="T45" t="s">
        <v>37</v>
      </c>
      <c r="U45" t="s">
        <v>38</v>
      </c>
      <c r="V45" t="s">
        <v>39</v>
      </c>
      <c r="W45">
        <v>2</v>
      </c>
    </row>
    <row r="46" spans="1:23" x14ac:dyDescent="0.3">
      <c r="A46">
        <v>48617328</v>
      </c>
      <c r="B46" s="1">
        <v>46032</v>
      </c>
      <c r="C46">
        <v>10</v>
      </c>
      <c r="D46">
        <v>1</v>
      </c>
      <c r="E46">
        <v>2026</v>
      </c>
      <c r="F46" t="s">
        <v>23</v>
      </c>
      <c r="G46" t="s">
        <v>24</v>
      </c>
      <c r="H46" t="s">
        <v>25</v>
      </c>
      <c r="I46" t="s">
        <v>75</v>
      </c>
      <c r="J46" t="s">
        <v>76</v>
      </c>
      <c r="K46" t="s">
        <v>28</v>
      </c>
      <c r="L46" t="s">
        <v>29</v>
      </c>
      <c r="M46" t="s">
        <v>30</v>
      </c>
      <c r="N46" t="s">
        <v>31</v>
      </c>
      <c r="O46" t="s">
        <v>32</v>
      </c>
      <c r="P46" t="s">
        <v>69</v>
      </c>
      <c r="Q46" t="s">
        <v>77</v>
      </c>
      <c r="R46" t="s">
        <v>266</v>
      </c>
      <c r="S46" t="s">
        <v>47</v>
      </c>
      <c r="T46" t="s">
        <v>48</v>
      </c>
      <c r="U46" t="s">
        <v>267</v>
      </c>
      <c r="V46" t="s">
        <v>268</v>
      </c>
      <c r="W46">
        <v>5</v>
      </c>
    </row>
    <row r="47" spans="1:23" x14ac:dyDescent="0.3">
      <c r="A47">
        <v>49886861</v>
      </c>
      <c r="B47" s="1">
        <v>46038</v>
      </c>
      <c r="C47">
        <v>16</v>
      </c>
      <c r="D47">
        <v>1</v>
      </c>
      <c r="E47">
        <v>2026</v>
      </c>
      <c r="F47" t="s">
        <v>23</v>
      </c>
      <c r="G47" t="s">
        <v>24</v>
      </c>
      <c r="H47" t="s">
        <v>25</v>
      </c>
      <c r="I47" t="s">
        <v>269</v>
      </c>
      <c r="J47" t="s">
        <v>270</v>
      </c>
      <c r="K47" t="s">
        <v>28</v>
      </c>
      <c r="L47" t="s">
        <v>29</v>
      </c>
      <c r="M47" t="s">
        <v>271</v>
      </c>
      <c r="N47" t="s">
        <v>272</v>
      </c>
      <c r="O47" t="s">
        <v>273</v>
      </c>
      <c r="P47" t="s">
        <v>274</v>
      </c>
      <c r="Q47" t="s">
        <v>275</v>
      </c>
      <c r="R47" t="s">
        <v>276</v>
      </c>
      <c r="S47" t="s">
        <v>36</v>
      </c>
      <c r="T47" t="s">
        <v>277</v>
      </c>
      <c r="U47" t="s">
        <v>278</v>
      </c>
      <c r="V47" t="s">
        <v>279</v>
      </c>
      <c r="W47">
        <v>4</v>
      </c>
    </row>
    <row r="48" spans="1:23" x14ac:dyDescent="0.3">
      <c r="A48">
        <v>49304206</v>
      </c>
      <c r="B48" s="1">
        <v>46054</v>
      </c>
      <c r="C48">
        <v>1</v>
      </c>
      <c r="D48">
        <v>2</v>
      </c>
      <c r="E48">
        <v>2026</v>
      </c>
      <c r="F48" t="s">
        <v>23</v>
      </c>
      <c r="G48" t="s">
        <v>24</v>
      </c>
      <c r="H48" t="s">
        <v>25</v>
      </c>
      <c r="I48" t="s">
        <v>108</v>
      </c>
      <c r="J48" t="s">
        <v>109</v>
      </c>
      <c r="K48" t="s">
        <v>28</v>
      </c>
      <c r="L48" t="s">
        <v>29</v>
      </c>
      <c r="M48" t="s">
        <v>30</v>
      </c>
      <c r="N48" t="s">
        <v>31</v>
      </c>
      <c r="O48" t="s">
        <v>32</v>
      </c>
      <c r="P48" t="s">
        <v>110</v>
      </c>
      <c r="Q48" t="s">
        <v>111</v>
      </c>
      <c r="R48" t="s">
        <v>280</v>
      </c>
      <c r="S48" t="s">
        <v>63</v>
      </c>
      <c r="T48" t="s">
        <v>72</v>
      </c>
      <c r="U48" t="s">
        <v>73</v>
      </c>
      <c r="V48" t="s">
        <v>74</v>
      </c>
      <c r="W48">
        <v>6</v>
      </c>
    </row>
    <row r="49" spans="1:23" x14ac:dyDescent="0.3">
      <c r="A49">
        <v>48605645</v>
      </c>
      <c r="B49" s="1">
        <v>46031</v>
      </c>
      <c r="C49">
        <v>9</v>
      </c>
      <c r="D49">
        <v>1</v>
      </c>
      <c r="E49">
        <v>2026</v>
      </c>
      <c r="F49" t="s">
        <v>51</v>
      </c>
      <c r="G49" t="s">
        <v>52</v>
      </c>
      <c r="H49" t="s">
        <v>53</v>
      </c>
      <c r="I49" t="s">
        <v>213</v>
      </c>
      <c r="J49" t="s">
        <v>214</v>
      </c>
      <c r="K49" t="s">
        <v>28</v>
      </c>
      <c r="L49" t="s">
        <v>56</v>
      </c>
      <c r="M49" t="s">
        <v>57</v>
      </c>
      <c r="N49" t="s">
        <v>58</v>
      </c>
      <c r="O49" t="s">
        <v>59</v>
      </c>
      <c r="P49" t="s">
        <v>60</v>
      </c>
      <c r="Q49" t="s">
        <v>215</v>
      </c>
      <c r="R49" t="s">
        <v>240</v>
      </c>
      <c r="S49" t="s">
        <v>47</v>
      </c>
      <c r="T49" t="s">
        <v>241</v>
      </c>
      <c r="U49" t="s">
        <v>242</v>
      </c>
      <c r="V49" t="s">
        <v>243</v>
      </c>
      <c r="W49">
        <v>9</v>
      </c>
    </row>
    <row r="50" spans="1:23" x14ac:dyDescent="0.3">
      <c r="A50">
        <v>48667259</v>
      </c>
      <c r="B50" s="1">
        <v>46036</v>
      </c>
      <c r="C50">
        <v>14</v>
      </c>
      <c r="D50">
        <v>1</v>
      </c>
      <c r="E50">
        <v>2026</v>
      </c>
      <c r="F50" t="s">
        <v>23</v>
      </c>
      <c r="G50" t="s">
        <v>24</v>
      </c>
      <c r="H50" t="s">
        <v>25</v>
      </c>
      <c r="I50" t="s">
        <v>281</v>
      </c>
      <c r="J50" t="s">
        <v>282</v>
      </c>
      <c r="K50" t="s">
        <v>28</v>
      </c>
      <c r="L50" t="s">
        <v>29</v>
      </c>
      <c r="M50" t="s">
        <v>30</v>
      </c>
      <c r="N50" t="s">
        <v>31</v>
      </c>
      <c r="O50" t="s">
        <v>32</v>
      </c>
      <c r="P50" t="s">
        <v>283</v>
      </c>
      <c r="Q50" t="s">
        <v>284</v>
      </c>
      <c r="R50" t="s">
        <v>285</v>
      </c>
      <c r="S50" t="s">
        <v>36</v>
      </c>
      <c r="T50" t="s">
        <v>37</v>
      </c>
      <c r="U50" t="s">
        <v>249</v>
      </c>
      <c r="V50" t="s">
        <v>250</v>
      </c>
      <c r="W50">
        <v>0</v>
      </c>
    </row>
    <row r="51" spans="1:23" x14ac:dyDescent="0.3">
      <c r="A51">
        <v>49603675</v>
      </c>
      <c r="B51" s="1">
        <v>46059</v>
      </c>
      <c r="C51">
        <v>6</v>
      </c>
      <c r="D51">
        <v>2</v>
      </c>
      <c r="E51">
        <v>2026</v>
      </c>
      <c r="F51" t="s">
        <v>286</v>
      </c>
      <c r="G51" t="s">
        <v>52</v>
      </c>
      <c r="H51" t="s">
        <v>53</v>
      </c>
      <c r="I51" t="s">
        <v>287</v>
      </c>
      <c r="J51" t="s">
        <v>288</v>
      </c>
      <c r="K51" t="s">
        <v>28</v>
      </c>
      <c r="L51" t="s">
        <v>56</v>
      </c>
      <c r="M51" t="s">
        <v>57</v>
      </c>
      <c r="N51" t="s">
        <v>58</v>
      </c>
      <c r="O51" t="s">
        <v>289</v>
      </c>
      <c r="P51" t="s">
        <v>290</v>
      </c>
      <c r="Q51" t="s">
        <v>291</v>
      </c>
      <c r="R51" t="s">
        <v>292</v>
      </c>
      <c r="S51" t="s">
        <v>63</v>
      </c>
      <c r="T51" t="s">
        <v>164</v>
      </c>
      <c r="U51" t="s">
        <v>293</v>
      </c>
      <c r="V51" t="s">
        <v>294</v>
      </c>
      <c r="W51">
        <v>2</v>
      </c>
    </row>
    <row r="52" spans="1:23" x14ac:dyDescent="0.3">
      <c r="A52">
        <v>48741205</v>
      </c>
      <c r="B52" s="1">
        <v>46044</v>
      </c>
      <c r="C52">
        <v>22</v>
      </c>
      <c r="D52">
        <v>1</v>
      </c>
      <c r="E52">
        <v>2026</v>
      </c>
      <c r="F52" t="s">
        <v>23</v>
      </c>
      <c r="G52" t="s">
        <v>24</v>
      </c>
      <c r="H52" t="s">
        <v>25</v>
      </c>
      <c r="I52" t="s">
        <v>295</v>
      </c>
      <c r="J52" t="s">
        <v>296</v>
      </c>
      <c r="K52" t="s">
        <v>28</v>
      </c>
      <c r="L52" t="s">
        <v>29</v>
      </c>
      <c r="M52" t="s">
        <v>30</v>
      </c>
      <c r="N52" t="s">
        <v>31</v>
      </c>
      <c r="O52" t="s">
        <v>132</v>
      </c>
      <c r="P52" t="s">
        <v>133</v>
      </c>
      <c r="Q52" t="s">
        <v>297</v>
      </c>
      <c r="R52" t="s">
        <v>298</v>
      </c>
      <c r="S52" t="s">
        <v>47</v>
      </c>
      <c r="T52" t="s">
        <v>48</v>
      </c>
      <c r="U52" t="s">
        <v>49</v>
      </c>
      <c r="V52" t="s">
        <v>50</v>
      </c>
      <c r="W52">
        <v>5</v>
      </c>
    </row>
    <row r="53" spans="1:23" x14ac:dyDescent="0.3">
      <c r="A53">
        <v>49671662</v>
      </c>
      <c r="B53" s="1">
        <v>46062</v>
      </c>
      <c r="C53">
        <v>9</v>
      </c>
      <c r="D53">
        <v>2</v>
      </c>
      <c r="E53">
        <v>2026</v>
      </c>
      <c r="F53" t="s">
        <v>23</v>
      </c>
      <c r="G53" t="s">
        <v>24</v>
      </c>
      <c r="H53" t="s">
        <v>25</v>
      </c>
      <c r="I53" t="s">
        <v>40</v>
      </c>
      <c r="J53" t="s">
        <v>41</v>
      </c>
      <c r="K53" t="s">
        <v>28</v>
      </c>
      <c r="L53" t="s">
        <v>29</v>
      </c>
      <c r="M53" t="s">
        <v>30</v>
      </c>
      <c r="N53" t="s">
        <v>42</v>
      </c>
      <c r="O53" t="s">
        <v>43</v>
      </c>
      <c r="P53" t="s">
        <v>44</v>
      </c>
      <c r="Q53" t="s">
        <v>45</v>
      </c>
      <c r="R53" t="s">
        <v>299</v>
      </c>
      <c r="S53" t="s">
        <v>47</v>
      </c>
      <c r="T53" t="s">
        <v>48</v>
      </c>
      <c r="U53" t="s">
        <v>142</v>
      </c>
      <c r="V53" t="s">
        <v>143</v>
      </c>
      <c r="W53">
        <v>7</v>
      </c>
    </row>
    <row r="54" spans="1:23" x14ac:dyDescent="0.3">
      <c r="A54">
        <v>48912687</v>
      </c>
      <c r="B54" s="1">
        <v>46048</v>
      </c>
      <c r="C54">
        <v>26</v>
      </c>
      <c r="D54">
        <v>1</v>
      </c>
      <c r="E54">
        <v>2026</v>
      </c>
      <c r="F54" t="s">
        <v>23</v>
      </c>
      <c r="G54" t="s">
        <v>24</v>
      </c>
      <c r="H54" t="s">
        <v>25</v>
      </c>
      <c r="I54" t="s">
        <v>123</v>
      </c>
      <c r="J54" t="s">
        <v>124</v>
      </c>
      <c r="K54" t="s">
        <v>28</v>
      </c>
      <c r="L54" t="s">
        <v>29</v>
      </c>
      <c r="M54" t="s">
        <v>30</v>
      </c>
      <c r="N54" t="s">
        <v>31</v>
      </c>
      <c r="O54" t="s">
        <v>32</v>
      </c>
      <c r="P54" t="s">
        <v>125</v>
      </c>
      <c r="Q54" t="s">
        <v>126</v>
      </c>
      <c r="R54" t="s">
        <v>300</v>
      </c>
      <c r="S54" t="s">
        <v>47</v>
      </c>
      <c r="T54" t="s">
        <v>113</v>
      </c>
      <c r="U54" t="s">
        <v>301</v>
      </c>
      <c r="V54" t="s">
        <v>302</v>
      </c>
      <c r="W54">
        <v>9</v>
      </c>
    </row>
    <row r="55" spans="1:23" x14ac:dyDescent="0.3">
      <c r="A55">
        <v>49303284</v>
      </c>
      <c r="B55" s="1">
        <v>46053</v>
      </c>
      <c r="C55">
        <v>31</v>
      </c>
      <c r="D55">
        <v>1</v>
      </c>
      <c r="E55">
        <v>2026</v>
      </c>
      <c r="F55" t="s">
        <v>23</v>
      </c>
      <c r="G55" t="s">
        <v>24</v>
      </c>
      <c r="H55" t="s">
        <v>25</v>
      </c>
      <c r="I55" t="s">
        <v>303</v>
      </c>
      <c r="J55" t="s">
        <v>304</v>
      </c>
      <c r="K55" t="s">
        <v>28</v>
      </c>
      <c r="L55" t="s">
        <v>29</v>
      </c>
      <c r="M55" t="s">
        <v>271</v>
      </c>
      <c r="N55" t="s">
        <v>272</v>
      </c>
      <c r="O55" t="s">
        <v>305</v>
      </c>
      <c r="P55" t="s">
        <v>306</v>
      </c>
      <c r="Q55" t="s">
        <v>307</v>
      </c>
      <c r="R55" t="s">
        <v>308</v>
      </c>
      <c r="S55" t="s">
        <v>36</v>
      </c>
      <c r="T55" t="s">
        <v>179</v>
      </c>
      <c r="U55" t="s">
        <v>180</v>
      </c>
      <c r="V55" t="s">
        <v>181</v>
      </c>
      <c r="W55">
        <v>3</v>
      </c>
    </row>
    <row r="56" spans="1:23" x14ac:dyDescent="0.3">
      <c r="A56">
        <v>50026524</v>
      </c>
      <c r="B56" s="1">
        <v>46066</v>
      </c>
      <c r="C56">
        <v>13</v>
      </c>
      <c r="D56">
        <v>2</v>
      </c>
      <c r="E56">
        <v>2026</v>
      </c>
      <c r="F56" t="s">
        <v>23</v>
      </c>
      <c r="G56" t="s">
        <v>24</v>
      </c>
      <c r="H56" t="s">
        <v>25</v>
      </c>
      <c r="I56" t="s">
        <v>309</v>
      </c>
      <c r="J56" t="s">
        <v>310</v>
      </c>
      <c r="K56" t="s">
        <v>28</v>
      </c>
      <c r="L56" t="s">
        <v>29</v>
      </c>
      <c r="M56" t="s">
        <v>30</v>
      </c>
      <c r="N56" t="s">
        <v>31</v>
      </c>
      <c r="O56" t="s">
        <v>138</v>
      </c>
      <c r="P56" t="s">
        <v>311</v>
      </c>
      <c r="Q56" t="s">
        <v>312</v>
      </c>
      <c r="R56" t="s">
        <v>313</v>
      </c>
      <c r="S56" t="s">
        <v>63</v>
      </c>
      <c r="T56" t="s">
        <v>164</v>
      </c>
      <c r="U56" t="s">
        <v>293</v>
      </c>
      <c r="V56" t="s">
        <v>314</v>
      </c>
      <c r="W56">
        <v>2</v>
      </c>
    </row>
    <row r="57" spans="1:23" x14ac:dyDescent="0.3">
      <c r="A57">
        <v>48662108</v>
      </c>
      <c r="B57" s="1">
        <v>46037</v>
      </c>
      <c r="C57">
        <v>15</v>
      </c>
      <c r="D57">
        <v>1</v>
      </c>
      <c r="E57">
        <v>2026</v>
      </c>
      <c r="F57" t="s">
        <v>23</v>
      </c>
      <c r="G57" t="s">
        <v>24</v>
      </c>
      <c r="H57" t="s">
        <v>25</v>
      </c>
      <c r="I57" t="s">
        <v>258</v>
      </c>
      <c r="J57" t="s">
        <v>259</v>
      </c>
      <c r="K57" t="s">
        <v>28</v>
      </c>
      <c r="L57" t="s">
        <v>29</v>
      </c>
      <c r="M57" t="s">
        <v>30</v>
      </c>
      <c r="N57" t="s">
        <v>31</v>
      </c>
      <c r="O57" t="s">
        <v>32</v>
      </c>
      <c r="P57" t="s">
        <v>260</v>
      </c>
      <c r="Q57" t="s">
        <v>261</v>
      </c>
      <c r="R57" t="s">
        <v>315</v>
      </c>
      <c r="S57" t="s">
        <v>47</v>
      </c>
      <c r="T57" t="s">
        <v>120</v>
      </c>
      <c r="U57" t="s">
        <v>121</v>
      </c>
      <c r="V57" t="s">
        <v>316</v>
      </c>
      <c r="W57">
        <v>6</v>
      </c>
    </row>
    <row r="58" spans="1:23" x14ac:dyDescent="0.3">
      <c r="A58">
        <v>49304148</v>
      </c>
      <c r="B58" s="1">
        <v>46054</v>
      </c>
      <c r="C58">
        <v>1</v>
      </c>
      <c r="D58">
        <v>2</v>
      </c>
      <c r="E58">
        <v>2026</v>
      </c>
      <c r="F58" t="s">
        <v>23</v>
      </c>
      <c r="G58" t="s">
        <v>24</v>
      </c>
      <c r="H58" t="s">
        <v>25</v>
      </c>
      <c r="I58" t="s">
        <v>317</v>
      </c>
      <c r="J58" t="s">
        <v>318</v>
      </c>
      <c r="K58" t="s">
        <v>28</v>
      </c>
      <c r="L58" t="s">
        <v>29</v>
      </c>
      <c r="M58" t="s">
        <v>30</v>
      </c>
      <c r="N58" t="s">
        <v>31</v>
      </c>
      <c r="O58" t="s">
        <v>132</v>
      </c>
      <c r="P58" t="s">
        <v>226</v>
      </c>
      <c r="Q58" t="s">
        <v>227</v>
      </c>
      <c r="R58" t="s">
        <v>170</v>
      </c>
      <c r="S58" t="s">
        <v>63</v>
      </c>
      <c r="T58" t="s">
        <v>154</v>
      </c>
      <c r="U58" t="s">
        <v>155</v>
      </c>
      <c r="V58" t="s">
        <v>171</v>
      </c>
      <c r="W58">
        <v>5</v>
      </c>
    </row>
    <row r="59" spans="1:23" x14ac:dyDescent="0.3">
      <c r="A59">
        <v>49888479</v>
      </c>
      <c r="B59" s="1">
        <v>46063</v>
      </c>
      <c r="C59">
        <v>10</v>
      </c>
      <c r="D59">
        <v>2</v>
      </c>
      <c r="E59">
        <v>2026</v>
      </c>
      <c r="F59" t="s">
        <v>23</v>
      </c>
      <c r="G59" t="s">
        <v>24</v>
      </c>
      <c r="H59" t="s">
        <v>25</v>
      </c>
      <c r="I59" t="s">
        <v>26</v>
      </c>
      <c r="J59" t="s">
        <v>27</v>
      </c>
      <c r="K59" t="s">
        <v>28</v>
      </c>
      <c r="L59" t="s">
        <v>29</v>
      </c>
      <c r="M59" t="s">
        <v>30</v>
      </c>
      <c r="N59" t="s">
        <v>31</v>
      </c>
      <c r="O59" t="s">
        <v>32</v>
      </c>
      <c r="P59" t="s">
        <v>33</v>
      </c>
      <c r="Q59" t="s">
        <v>34</v>
      </c>
      <c r="R59" t="s">
        <v>319</v>
      </c>
      <c r="S59" t="s">
        <v>47</v>
      </c>
      <c r="T59" t="s">
        <v>48</v>
      </c>
      <c r="U59" t="s">
        <v>320</v>
      </c>
      <c r="V59" t="s">
        <v>321</v>
      </c>
      <c r="W59">
        <v>8</v>
      </c>
    </row>
    <row r="60" spans="1:23" x14ac:dyDescent="0.3">
      <c r="A60">
        <v>49304155</v>
      </c>
      <c r="B60" s="1">
        <v>46054</v>
      </c>
      <c r="C60">
        <v>1</v>
      </c>
      <c r="D60">
        <v>2</v>
      </c>
      <c r="E60">
        <v>2026</v>
      </c>
      <c r="F60" t="s">
        <v>23</v>
      </c>
      <c r="G60" t="s">
        <v>24</v>
      </c>
      <c r="H60" t="s">
        <v>25</v>
      </c>
      <c r="I60" t="s">
        <v>322</v>
      </c>
      <c r="J60" t="s">
        <v>323</v>
      </c>
      <c r="K60" t="s">
        <v>28</v>
      </c>
      <c r="L60" t="s">
        <v>29</v>
      </c>
      <c r="M60" t="s">
        <v>271</v>
      </c>
      <c r="N60" t="s">
        <v>272</v>
      </c>
      <c r="O60" t="s">
        <v>324</v>
      </c>
      <c r="P60" t="s">
        <v>325</v>
      </c>
      <c r="Q60" t="s">
        <v>326</v>
      </c>
      <c r="R60" t="s">
        <v>153</v>
      </c>
      <c r="S60" t="s">
        <v>63</v>
      </c>
      <c r="T60" t="s">
        <v>154</v>
      </c>
      <c r="U60" t="s">
        <v>155</v>
      </c>
      <c r="V60" t="s">
        <v>156</v>
      </c>
      <c r="W60">
        <v>9</v>
      </c>
    </row>
    <row r="61" spans="1:23" x14ac:dyDescent="0.3">
      <c r="A61">
        <v>49387272</v>
      </c>
      <c r="B61" s="1">
        <v>46055</v>
      </c>
      <c r="C61">
        <v>2</v>
      </c>
      <c r="D61">
        <v>2</v>
      </c>
      <c r="E61">
        <v>2026</v>
      </c>
      <c r="F61" t="s">
        <v>23</v>
      </c>
      <c r="G61" t="s">
        <v>24</v>
      </c>
      <c r="H61" t="s">
        <v>25</v>
      </c>
      <c r="I61" t="s">
        <v>327</v>
      </c>
      <c r="J61" t="s">
        <v>328</v>
      </c>
      <c r="K61" t="s">
        <v>28</v>
      </c>
      <c r="L61" t="s">
        <v>29</v>
      </c>
      <c r="M61" t="s">
        <v>30</v>
      </c>
      <c r="N61" t="s">
        <v>174</v>
      </c>
      <c r="O61" t="s">
        <v>175</v>
      </c>
      <c r="P61" t="s">
        <v>176</v>
      </c>
      <c r="Q61" t="s">
        <v>177</v>
      </c>
      <c r="R61" t="s">
        <v>100</v>
      </c>
      <c r="S61" t="s">
        <v>47</v>
      </c>
      <c r="T61" t="s">
        <v>101</v>
      </c>
      <c r="U61" t="s">
        <v>102</v>
      </c>
      <c r="V61" t="s">
        <v>103</v>
      </c>
      <c r="W61">
        <v>0</v>
      </c>
    </row>
    <row r="62" spans="1:23" x14ac:dyDescent="0.3">
      <c r="A62">
        <v>48665832</v>
      </c>
      <c r="B62" s="1">
        <v>46037</v>
      </c>
      <c r="C62">
        <v>15</v>
      </c>
      <c r="D62">
        <v>1</v>
      </c>
      <c r="E62">
        <v>2026</v>
      </c>
      <c r="F62" t="s">
        <v>23</v>
      </c>
      <c r="G62" t="s">
        <v>24</v>
      </c>
      <c r="H62" t="s">
        <v>25</v>
      </c>
      <c r="I62" t="s">
        <v>26</v>
      </c>
      <c r="J62" t="s">
        <v>27</v>
      </c>
      <c r="K62" t="s">
        <v>28</v>
      </c>
      <c r="L62" t="s">
        <v>29</v>
      </c>
      <c r="M62" t="s">
        <v>30</v>
      </c>
      <c r="N62" t="s">
        <v>31</v>
      </c>
      <c r="O62" t="s">
        <v>32</v>
      </c>
      <c r="P62" t="s">
        <v>33</v>
      </c>
      <c r="Q62" t="s">
        <v>34</v>
      </c>
      <c r="R62" t="s">
        <v>329</v>
      </c>
      <c r="S62" t="s">
        <v>47</v>
      </c>
      <c r="T62" t="s">
        <v>120</v>
      </c>
      <c r="U62" t="s">
        <v>121</v>
      </c>
      <c r="V62" t="s">
        <v>122</v>
      </c>
      <c r="W62">
        <v>1</v>
      </c>
    </row>
    <row r="63" spans="1:23" x14ac:dyDescent="0.3">
      <c r="A63">
        <v>50032262</v>
      </c>
      <c r="B63" s="1">
        <v>46068</v>
      </c>
      <c r="C63">
        <v>15</v>
      </c>
      <c r="D63">
        <v>2</v>
      </c>
      <c r="E63">
        <v>2026</v>
      </c>
      <c r="F63" t="s">
        <v>23</v>
      </c>
      <c r="G63" t="s">
        <v>24</v>
      </c>
      <c r="H63" t="s">
        <v>25</v>
      </c>
      <c r="I63" t="s">
        <v>167</v>
      </c>
      <c r="J63" t="s">
        <v>168</v>
      </c>
      <c r="K63" t="s">
        <v>28</v>
      </c>
      <c r="L63" t="s">
        <v>29</v>
      </c>
      <c r="M63" t="s">
        <v>30</v>
      </c>
      <c r="N63" t="s">
        <v>31</v>
      </c>
      <c r="O63" t="s">
        <v>160</v>
      </c>
      <c r="P63" t="s">
        <v>161</v>
      </c>
      <c r="Q63" t="s">
        <v>169</v>
      </c>
      <c r="R63" t="s">
        <v>330</v>
      </c>
      <c r="S63" t="s">
        <v>63</v>
      </c>
      <c r="T63" t="s">
        <v>164</v>
      </c>
      <c r="U63" t="s">
        <v>200</v>
      </c>
      <c r="V63" t="s">
        <v>201</v>
      </c>
      <c r="W63">
        <v>0</v>
      </c>
    </row>
    <row r="64" spans="1:23" x14ac:dyDescent="0.3">
      <c r="A64">
        <v>49323239</v>
      </c>
      <c r="B64" s="1">
        <v>46054</v>
      </c>
      <c r="C64">
        <v>1</v>
      </c>
      <c r="D64">
        <v>2</v>
      </c>
      <c r="E64">
        <v>2026</v>
      </c>
      <c r="F64" t="s">
        <v>23</v>
      </c>
      <c r="G64" t="s">
        <v>24</v>
      </c>
      <c r="H64" t="s">
        <v>25</v>
      </c>
      <c r="I64" t="s">
        <v>116</v>
      </c>
      <c r="J64" t="s">
        <v>117</v>
      </c>
      <c r="K64" t="s">
        <v>28</v>
      </c>
      <c r="L64" t="s">
        <v>29</v>
      </c>
      <c r="M64" t="s">
        <v>30</v>
      </c>
      <c r="N64" t="s">
        <v>31</v>
      </c>
      <c r="O64" t="s">
        <v>32</v>
      </c>
      <c r="P64" t="s">
        <v>33</v>
      </c>
      <c r="Q64" t="s">
        <v>118</v>
      </c>
      <c r="R64" t="s">
        <v>331</v>
      </c>
      <c r="S64" t="s">
        <v>47</v>
      </c>
      <c r="T64" t="s">
        <v>101</v>
      </c>
      <c r="U64" t="s">
        <v>128</v>
      </c>
      <c r="V64" t="s">
        <v>332</v>
      </c>
      <c r="W64">
        <v>1</v>
      </c>
    </row>
    <row r="65" spans="1:23" x14ac:dyDescent="0.3">
      <c r="A65">
        <v>49711744</v>
      </c>
      <c r="B65" s="1">
        <v>46061</v>
      </c>
      <c r="C65">
        <v>8</v>
      </c>
      <c r="D65">
        <v>2</v>
      </c>
      <c r="E65">
        <v>2026</v>
      </c>
      <c r="F65" t="s">
        <v>51</v>
      </c>
      <c r="G65" t="s">
        <v>52</v>
      </c>
      <c r="H65" t="s">
        <v>53</v>
      </c>
      <c r="I65" t="s">
        <v>206</v>
      </c>
      <c r="J65" t="s">
        <v>207</v>
      </c>
      <c r="K65" t="s">
        <v>28</v>
      </c>
      <c r="L65" t="s">
        <v>56</v>
      </c>
      <c r="M65" t="s">
        <v>57</v>
      </c>
      <c r="N65" t="s">
        <v>58</v>
      </c>
      <c r="O65" t="s">
        <v>59</v>
      </c>
      <c r="P65" t="s">
        <v>60</v>
      </c>
      <c r="Q65" t="s">
        <v>208</v>
      </c>
      <c r="R65" t="s">
        <v>333</v>
      </c>
      <c r="S65" t="s">
        <v>36</v>
      </c>
      <c r="T65" t="s">
        <v>334</v>
      </c>
      <c r="U65" t="s">
        <v>335</v>
      </c>
      <c r="V65" t="s">
        <v>336</v>
      </c>
      <c r="W65">
        <v>1</v>
      </c>
    </row>
    <row r="66" spans="1:23" x14ac:dyDescent="0.3">
      <c r="A66">
        <v>48683319</v>
      </c>
      <c r="B66" s="1">
        <v>46039</v>
      </c>
      <c r="C66">
        <v>17</v>
      </c>
      <c r="D66">
        <v>1</v>
      </c>
      <c r="E66">
        <v>2026</v>
      </c>
      <c r="F66" t="s">
        <v>23</v>
      </c>
      <c r="G66" t="s">
        <v>24</v>
      </c>
      <c r="H66" t="s">
        <v>25</v>
      </c>
      <c r="I66" t="s">
        <v>108</v>
      </c>
      <c r="J66" t="s">
        <v>109</v>
      </c>
      <c r="K66" t="s">
        <v>28</v>
      </c>
      <c r="L66" t="s">
        <v>29</v>
      </c>
      <c r="M66" t="s">
        <v>30</v>
      </c>
      <c r="N66" t="s">
        <v>31</v>
      </c>
      <c r="O66" t="s">
        <v>32</v>
      </c>
      <c r="P66" t="s">
        <v>110</v>
      </c>
      <c r="Q66" t="s">
        <v>111</v>
      </c>
      <c r="R66" t="s">
        <v>337</v>
      </c>
      <c r="S66" t="s">
        <v>47</v>
      </c>
      <c r="T66" t="s">
        <v>48</v>
      </c>
      <c r="U66" t="s">
        <v>338</v>
      </c>
      <c r="V66" t="s">
        <v>339</v>
      </c>
      <c r="W66">
        <v>1</v>
      </c>
    </row>
    <row r="67" spans="1:23" x14ac:dyDescent="0.3">
      <c r="A67">
        <v>49888478</v>
      </c>
      <c r="B67" s="1">
        <v>46063</v>
      </c>
      <c r="C67">
        <v>10</v>
      </c>
      <c r="D67">
        <v>2</v>
      </c>
      <c r="E67">
        <v>2026</v>
      </c>
      <c r="F67" t="s">
        <v>23</v>
      </c>
      <c r="G67" t="s">
        <v>24</v>
      </c>
      <c r="H67" t="s">
        <v>25</v>
      </c>
      <c r="I67" t="s">
        <v>150</v>
      </c>
      <c r="J67" t="s">
        <v>151</v>
      </c>
      <c r="K67" t="s">
        <v>28</v>
      </c>
      <c r="L67" t="s">
        <v>29</v>
      </c>
      <c r="M67" t="s">
        <v>30</v>
      </c>
      <c r="N67" t="s">
        <v>31</v>
      </c>
      <c r="O67" t="s">
        <v>32</v>
      </c>
      <c r="P67" t="s">
        <v>125</v>
      </c>
      <c r="Q67" t="s">
        <v>152</v>
      </c>
      <c r="R67" t="s">
        <v>340</v>
      </c>
      <c r="S67" t="s">
        <v>47</v>
      </c>
      <c r="T67" t="s">
        <v>79</v>
      </c>
      <c r="U67" t="s">
        <v>341</v>
      </c>
      <c r="V67" t="s">
        <v>342</v>
      </c>
      <c r="W67">
        <v>0</v>
      </c>
    </row>
    <row r="68" spans="1:23" x14ac:dyDescent="0.3">
      <c r="A68">
        <v>48675008</v>
      </c>
      <c r="B68" s="1">
        <v>46038</v>
      </c>
      <c r="C68">
        <v>16</v>
      </c>
      <c r="D68">
        <v>1</v>
      </c>
      <c r="E68">
        <v>2026</v>
      </c>
      <c r="F68" t="s">
        <v>23</v>
      </c>
      <c r="G68" t="s">
        <v>24</v>
      </c>
      <c r="H68" t="s">
        <v>25</v>
      </c>
      <c r="I68" t="s">
        <v>158</v>
      </c>
      <c r="J68" t="s">
        <v>159</v>
      </c>
      <c r="K68" t="s">
        <v>28</v>
      </c>
      <c r="L68" t="s">
        <v>29</v>
      </c>
      <c r="M68" t="s">
        <v>30</v>
      </c>
      <c r="N68" t="s">
        <v>31</v>
      </c>
      <c r="O68" t="s">
        <v>160</v>
      </c>
      <c r="P68" t="s">
        <v>161</v>
      </c>
      <c r="Q68" t="s">
        <v>162</v>
      </c>
      <c r="R68" t="s">
        <v>343</v>
      </c>
      <c r="S68" t="s">
        <v>47</v>
      </c>
      <c r="T68" t="s">
        <v>113</v>
      </c>
      <c r="U68" t="s">
        <v>344</v>
      </c>
      <c r="V68" t="s">
        <v>345</v>
      </c>
      <c r="W68">
        <v>2</v>
      </c>
    </row>
    <row r="69" spans="1:23" x14ac:dyDescent="0.3">
      <c r="A69">
        <v>49246326</v>
      </c>
      <c r="B69" s="1">
        <v>46052</v>
      </c>
      <c r="C69">
        <v>30</v>
      </c>
      <c r="D69">
        <v>1</v>
      </c>
      <c r="E69">
        <v>2026</v>
      </c>
      <c r="F69" t="s">
        <v>23</v>
      </c>
      <c r="G69" t="s">
        <v>24</v>
      </c>
      <c r="H69" t="s">
        <v>25</v>
      </c>
      <c r="I69" t="s">
        <v>346</v>
      </c>
      <c r="J69" t="s">
        <v>347</v>
      </c>
      <c r="K69" t="s">
        <v>28</v>
      </c>
      <c r="L69" t="s">
        <v>29</v>
      </c>
      <c r="M69" t="s">
        <v>30</v>
      </c>
      <c r="N69" t="s">
        <v>31</v>
      </c>
      <c r="O69" t="s">
        <v>138</v>
      </c>
      <c r="P69" t="s">
        <v>348</v>
      </c>
      <c r="Q69" t="s">
        <v>349</v>
      </c>
      <c r="R69" t="s">
        <v>350</v>
      </c>
      <c r="S69" t="s">
        <v>63</v>
      </c>
      <c r="T69" t="s">
        <v>164</v>
      </c>
      <c r="U69" t="s">
        <v>165</v>
      </c>
      <c r="V69" t="s">
        <v>166</v>
      </c>
      <c r="W69">
        <v>3</v>
      </c>
    </row>
    <row r="70" spans="1:23" x14ac:dyDescent="0.3">
      <c r="A70">
        <v>49297870</v>
      </c>
      <c r="B70" s="1">
        <v>46053</v>
      </c>
      <c r="C70">
        <v>31</v>
      </c>
      <c r="D70">
        <v>1</v>
      </c>
      <c r="E70">
        <v>2026</v>
      </c>
      <c r="F70" t="s">
        <v>351</v>
      </c>
      <c r="G70" t="s">
        <v>352</v>
      </c>
      <c r="H70" t="s">
        <v>353</v>
      </c>
      <c r="I70" t="s">
        <v>354</v>
      </c>
      <c r="J70" t="s">
        <v>355</v>
      </c>
      <c r="K70" t="s">
        <v>28</v>
      </c>
      <c r="L70" t="s">
        <v>56</v>
      </c>
      <c r="M70" t="s">
        <v>57</v>
      </c>
      <c r="N70" t="s">
        <v>58</v>
      </c>
      <c r="O70" t="s">
        <v>289</v>
      </c>
      <c r="P70" t="s">
        <v>356</v>
      </c>
      <c r="Q70" t="s">
        <v>357</v>
      </c>
      <c r="R70" t="s">
        <v>209</v>
      </c>
      <c r="S70" t="s">
        <v>47</v>
      </c>
      <c r="T70" t="s">
        <v>210</v>
      </c>
      <c r="U70" t="s">
        <v>211</v>
      </c>
      <c r="V70" t="s">
        <v>212</v>
      </c>
      <c r="W70">
        <v>4</v>
      </c>
    </row>
    <row r="71" spans="1:23" x14ac:dyDescent="0.3">
      <c r="A71">
        <v>49303289</v>
      </c>
      <c r="B71" s="1">
        <v>46053</v>
      </c>
      <c r="C71">
        <v>31</v>
      </c>
      <c r="D71">
        <v>1</v>
      </c>
      <c r="E71">
        <v>2026</v>
      </c>
      <c r="F71" t="s">
        <v>23</v>
      </c>
      <c r="G71" t="s">
        <v>24</v>
      </c>
      <c r="H71" t="s">
        <v>25</v>
      </c>
      <c r="I71" t="s">
        <v>358</v>
      </c>
      <c r="J71" t="s">
        <v>359</v>
      </c>
      <c r="K71" t="s">
        <v>28</v>
      </c>
      <c r="L71" t="s">
        <v>29</v>
      </c>
      <c r="M71" t="s">
        <v>30</v>
      </c>
      <c r="N71" t="s">
        <v>174</v>
      </c>
      <c r="O71" t="s">
        <v>175</v>
      </c>
      <c r="P71" t="s">
        <v>176</v>
      </c>
      <c r="Q71" t="s">
        <v>177</v>
      </c>
      <c r="R71" t="s">
        <v>360</v>
      </c>
      <c r="S71" t="s">
        <v>47</v>
      </c>
      <c r="T71" t="s">
        <v>120</v>
      </c>
      <c r="U71" t="s">
        <v>233</v>
      </c>
      <c r="V71" t="s">
        <v>361</v>
      </c>
      <c r="W71">
        <v>5</v>
      </c>
    </row>
    <row r="72" spans="1:23" x14ac:dyDescent="0.3">
      <c r="A72">
        <v>49724505</v>
      </c>
      <c r="B72" s="1">
        <v>46052</v>
      </c>
      <c r="C72">
        <v>30</v>
      </c>
      <c r="D72">
        <v>1</v>
      </c>
      <c r="E72">
        <v>2026</v>
      </c>
      <c r="F72" t="s">
        <v>23</v>
      </c>
      <c r="G72" t="s">
        <v>24</v>
      </c>
      <c r="H72" t="s">
        <v>25</v>
      </c>
      <c r="I72" t="s">
        <v>123</v>
      </c>
      <c r="J72" t="s">
        <v>124</v>
      </c>
      <c r="K72" t="s">
        <v>28</v>
      </c>
      <c r="L72" t="s">
        <v>29</v>
      </c>
      <c r="M72" t="s">
        <v>30</v>
      </c>
      <c r="N72" t="s">
        <v>31</v>
      </c>
      <c r="O72" t="s">
        <v>32</v>
      </c>
      <c r="P72" t="s">
        <v>125</v>
      </c>
      <c r="Q72" t="s">
        <v>126</v>
      </c>
      <c r="R72" t="s">
        <v>362</v>
      </c>
      <c r="S72" t="s">
        <v>47</v>
      </c>
      <c r="T72" t="s">
        <v>48</v>
      </c>
      <c r="U72" t="s">
        <v>363</v>
      </c>
      <c r="V72" t="s">
        <v>364</v>
      </c>
      <c r="W72">
        <v>6</v>
      </c>
    </row>
    <row r="73" spans="1:23" x14ac:dyDescent="0.3">
      <c r="A73">
        <v>49298507</v>
      </c>
      <c r="B73" s="1">
        <v>46053</v>
      </c>
      <c r="C73">
        <v>31</v>
      </c>
      <c r="D73">
        <v>1</v>
      </c>
      <c r="E73">
        <v>2026</v>
      </c>
      <c r="F73" t="s">
        <v>23</v>
      </c>
      <c r="G73" t="s">
        <v>24</v>
      </c>
      <c r="H73" t="s">
        <v>25</v>
      </c>
      <c r="I73" t="s">
        <v>251</v>
      </c>
      <c r="J73" t="s">
        <v>252</v>
      </c>
      <c r="K73" t="s">
        <v>28</v>
      </c>
      <c r="L73" t="s">
        <v>29</v>
      </c>
      <c r="M73" t="s">
        <v>30</v>
      </c>
      <c r="N73" t="s">
        <v>31</v>
      </c>
      <c r="O73" t="s">
        <v>32</v>
      </c>
      <c r="P73" t="s">
        <v>125</v>
      </c>
      <c r="Q73" t="s">
        <v>253</v>
      </c>
      <c r="R73" t="s">
        <v>365</v>
      </c>
      <c r="S73" t="s">
        <v>47</v>
      </c>
      <c r="T73" t="s">
        <v>120</v>
      </c>
      <c r="U73" t="s">
        <v>194</v>
      </c>
      <c r="V73" t="s">
        <v>223</v>
      </c>
      <c r="W73">
        <v>8</v>
      </c>
    </row>
    <row r="74" spans="1:23" x14ac:dyDescent="0.3">
      <c r="A74">
        <v>48683320</v>
      </c>
      <c r="B74" s="1">
        <v>46039</v>
      </c>
      <c r="C74">
        <v>17</v>
      </c>
      <c r="D74">
        <v>1</v>
      </c>
      <c r="E74">
        <v>2026</v>
      </c>
      <c r="F74" t="s">
        <v>23</v>
      </c>
      <c r="G74" t="s">
        <v>24</v>
      </c>
      <c r="H74" t="s">
        <v>25</v>
      </c>
      <c r="I74" t="s">
        <v>75</v>
      </c>
      <c r="J74" t="s">
        <v>76</v>
      </c>
      <c r="K74" t="s">
        <v>28</v>
      </c>
      <c r="L74" t="s">
        <v>29</v>
      </c>
      <c r="M74" t="s">
        <v>30</v>
      </c>
      <c r="N74" t="s">
        <v>31</v>
      </c>
      <c r="O74" t="s">
        <v>32</v>
      </c>
      <c r="P74" t="s">
        <v>69</v>
      </c>
      <c r="Q74" t="s">
        <v>77</v>
      </c>
      <c r="R74" t="s">
        <v>366</v>
      </c>
      <c r="S74" t="s">
        <v>47</v>
      </c>
      <c r="T74" t="s">
        <v>48</v>
      </c>
      <c r="U74" t="s">
        <v>338</v>
      </c>
      <c r="V74" t="s">
        <v>339</v>
      </c>
      <c r="W74">
        <v>9</v>
      </c>
    </row>
    <row r="75" spans="1:23" x14ac:dyDescent="0.3">
      <c r="A75">
        <v>48995016</v>
      </c>
      <c r="B75" s="1">
        <v>46045</v>
      </c>
      <c r="C75">
        <v>23</v>
      </c>
      <c r="D75">
        <v>1</v>
      </c>
      <c r="E75">
        <v>2026</v>
      </c>
      <c r="F75" t="s">
        <v>23</v>
      </c>
      <c r="G75" t="s">
        <v>24</v>
      </c>
      <c r="H75" t="s">
        <v>25</v>
      </c>
      <c r="I75" t="s">
        <v>116</v>
      </c>
      <c r="J75" t="s">
        <v>117</v>
      </c>
      <c r="K75" t="s">
        <v>28</v>
      </c>
      <c r="L75" t="s">
        <v>29</v>
      </c>
      <c r="M75" t="s">
        <v>30</v>
      </c>
      <c r="N75" t="s">
        <v>31</v>
      </c>
      <c r="O75" t="s">
        <v>32</v>
      </c>
      <c r="P75" t="s">
        <v>33</v>
      </c>
      <c r="Q75" t="s">
        <v>118</v>
      </c>
      <c r="R75" t="s">
        <v>367</v>
      </c>
      <c r="S75" t="s">
        <v>47</v>
      </c>
      <c r="T75" t="s">
        <v>48</v>
      </c>
      <c r="U75" t="s">
        <v>203</v>
      </c>
      <c r="V75" t="s">
        <v>204</v>
      </c>
      <c r="W75">
        <v>5</v>
      </c>
    </row>
    <row r="76" spans="1:23" x14ac:dyDescent="0.3">
      <c r="A76">
        <v>49620069</v>
      </c>
      <c r="B76" s="1">
        <v>46059</v>
      </c>
      <c r="C76">
        <v>6</v>
      </c>
      <c r="D76">
        <v>2</v>
      </c>
      <c r="E76">
        <v>2026</v>
      </c>
      <c r="F76" t="s">
        <v>23</v>
      </c>
      <c r="G76" t="s">
        <v>24</v>
      </c>
      <c r="H76" t="s">
        <v>25</v>
      </c>
      <c r="I76" t="s">
        <v>116</v>
      </c>
      <c r="J76" t="s">
        <v>117</v>
      </c>
      <c r="K76" t="s">
        <v>28</v>
      </c>
      <c r="L76" t="s">
        <v>29</v>
      </c>
      <c r="M76" t="s">
        <v>30</v>
      </c>
      <c r="N76" t="s">
        <v>31</v>
      </c>
      <c r="O76" t="s">
        <v>32</v>
      </c>
      <c r="P76" t="s">
        <v>33</v>
      </c>
      <c r="Q76" t="s">
        <v>118</v>
      </c>
      <c r="R76" t="s">
        <v>368</v>
      </c>
      <c r="S76" t="s">
        <v>47</v>
      </c>
      <c r="T76" t="s">
        <v>113</v>
      </c>
      <c r="U76" t="s">
        <v>255</v>
      </c>
      <c r="V76" t="s">
        <v>256</v>
      </c>
      <c r="W76">
        <v>2</v>
      </c>
    </row>
    <row r="77" spans="1:23" x14ac:dyDescent="0.3">
      <c r="A77">
        <v>49724556</v>
      </c>
      <c r="B77" s="1">
        <v>46062</v>
      </c>
      <c r="C77">
        <v>9</v>
      </c>
      <c r="D77">
        <v>2</v>
      </c>
      <c r="E77">
        <v>2026</v>
      </c>
      <c r="F77" t="s">
        <v>23</v>
      </c>
      <c r="G77" t="s">
        <v>24</v>
      </c>
      <c r="H77" t="s">
        <v>25</v>
      </c>
      <c r="I77" t="s">
        <v>96</v>
      </c>
      <c r="J77" t="s">
        <v>97</v>
      </c>
      <c r="K77" t="s">
        <v>28</v>
      </c>
      <c r="L77" t="s">
        <v>29</v>
      </c>
      <c r="M77" t="s">
        <v>30</v>
      </c>
      <c r="N77" t="s">
        <v>31</v>
      </c>
      <c r="O77" t="s">
        <v>32</v>
      </c>
      <c r="P77" t="s">
        <v>98</v>
      </c>
      <c r="Q77" t="s">
        <v>99</v>
      </c>
      <c r="R77" t="s">
        <v>369</v>
      </c>
      <c r="S77" t="s">
        <v>47</v>
      </c>
      <c r="T77" t="s">
        <v>48</v>
      </c>
      <c r="U77" t="s">
        <v>142</v>
      </c>
      <c r="V77" t="s">
        <v>143</v>
      </c>
      <c r="W77">
        <v>1</v>
      </c>
    </row>
    <row r="78" spans="1:23" x14ac:dyDescent="0.3">
      <c r="A78">
        <v>49517752</v>
      </c>
      <c r="B78" s="1">
        <v>46057</v>
      </c>
      <c r="C78">
        <v>4</v>
      </c>
      <c r="D78">
        <v>2</v>
      </c>
      <c r="E78">
        <v>2026</v>
      </c>
      <c r="F78" t="s">
        <v>23</v>
      </c>
      <c r="G78" t="s">
        <v>24</v>
      </c>
      <c r="H78" t="s">
        <v>25</v>
      </c>
      <c r="I78" t="s">
        <v>136</v>
      </c>
      <c r="J78" t="s">
        <v>137</v>
      </c>
      <c r="K78" t="s">
        <v>28</v>
      </c>
      <c r="L78" t="s">
        <v>29</v>
      </c>
      <c r="M78" t="s">
        <v>30</v>
      </c>
      <c r="N78" t="s">
        <v>31</v>
      </c>
      <c r="O78" t="s">
        <v>138</v>
      </c>
      <c r="P78" t="s">
        <v>139</v>
      </c>
      <c r="Q78" t="s">
        <v>140</v>
      </c>
      <c r="R78" t="s">
        <v>370</v>
      </c>
      <c r="S78" t="s">
        <v>36</v>
      </c>
      <c r="T78" t="s">
        <v>37</v>
      </c>
      <c r="U78" t="s">
        <v>38</v>
      </c>
      <c r="V78" t="s">
        <v>39</v>
      </c>
      <c r="W78">
        <v>4</v>
      </c>
    </row>
    <row r="79" spans="1:23" x14ac:dyDescent="0.3">
      <c r="A79">
        <v>50032448</v>
      </c>
      <c r="B79" s="1">
        <v>46068</v>
      </c>
      <c r="C79">
        <v>15</v>
      </c>
      <c r="D79">
        <v>2</v>
      </c>
      <c r="E79">
        <v>2026</v>
      </c>
      <c r="F79" t="s">
        <v>23</v>
      </c>
      <c r="G79" t="s">
        <v>24</v>
      </c>
      <c r="H79" t="s">
        <v>25</v>
      </c>
      <c r="I79" t="s">
        <v>317</v>
      </c>
      <c r="J79" t="s">
        <v>318</v>
      </c>
      <c r="K79" t="s">
        <v>28</v>
      </c>
      <c r="L79" t="s">
        <v>29</v>
      </c>
      <c r="M79" t="s">
        <v>30</v>
      </c>
      <c r="N79" t="s">
        <v>31</v>
      </c>
      <c r="O79" t="s">
        <v>132</v>
      </c>
      <c r="P79" t="s">
        <v>226</v>
      </c>
      <c r="Q79" t="s">
        <v>227</v>
      </c>
      <c r="R79" t="s">
        <v>220</v>
      </c>
      <c r="S79" t="s">
        <v>63</v>
      </c>
      <c r="T79" t="s">
        <v>164</v>
      </c>
      <c r="U79" t="s">
        <v>200</v>
      </c>
      <c r="V79" t="s">
        <v>201</v>
      </c>
      <c r="W79">
        <v>6</v>
      </c>
    </row>
    <row r="80" spans="1:23" x14ac:dyDescent="0.3">
      <c r="A80">
        <v>48683318</v>
      </c>
      <c r="B80" s="1">
        <v>46039</v>
      </c>
      <c r="C80">
        <v>17</v>
      </c>
      <c r="D80">
        <v>1</v>
      </c>
      <c r="E80">
        <v>2026</v>
      </c>
      <c r="F80" t="s">
        <v>23</v>
      </c>
      <c r="G80" t="s">
        <v>24</v>
      </c>
      <c r="H80" t="s">
        <v>25</v>
      </c>
      <c r="I80" t="s">
        <v>40</v>
      </c>
      <c r="J80" t="s">
        <v>41</v>
      </c>
      <c r="K80" t="s">
        <v>28</v>
      </c>
      <c r="L80" t="s">
        <v>29</v>
      </c>
      <c r="M80" t="s">
        <v>30</v>
      </c>
      <c r="N80" t="s">
        <v>42</v>
      </c>
      <c r="O80" t="s">
        <v>43</v>
      </c>
      <c r="P80" t="s">
        <v>44</v>
      </c>
      <c r="Q80" t="s">
        <v>45</v>
      </c>
      <c r="R80" t="s">
        <v>371</v>
      </c>
      <c r="S80" t="s">
        <v>47</v>
      </c>
      <c r="T80" t="s">
        <v>48</v>
      </c>
      <c r="U80" t="s">
        <v>338</v>
      </c>
      <c r="V80" t="s">
        <v>339</v>
      </c>
      <c r="W80">
        <v>8</v>
      </c>
    </row>
    <row r="81" spans="1:23" x14ac:dyDescent="0.3">
      <c r="A81">
        <v>48722318</v>
      </c>
      <c r="B81" s="1">
        <v>46042</v>
      </c>
      <c r="C81">
        <v>20</v>
      </c>
      <c r="D81">
        <v>1</v>
      </c>
      <c r="E81">
        <v>2026</v>
      </c>
      <c r="F81" t="s">
        <v>23</v>
      </c>
      <c r="G81" t="s">
        <v>24</v>
      </c>
      <c r="H81" t="s">
        <v>25</v>
      </c>
      <c r="I81" t="s">
        <v>26</v>
      </c>
      <c r="J81" t="s">
        <v>27</v>
      </c>
      <c r="K81" t="s">
        <v>28</v>
      </c>
      <c r="L81" t="s">
        <v>29</v>
      </c>
      <c r="M81" t="s">
        <v>30</v>
      </c>
      <c r="N81" t="s">
        <v>31</v>
      </c>
      <c r="O81" t="s">
        <v>32</v>
      </c>
      <c r="P81" t="s">
        <v>33</v>
      </c>
      <c r="Q81" t="s">
        <v>34</v>
      </c>
      <c r="R81" t="s">
        <v>372</v>
      </c>
      <c r="S81" t="s">
        <v>47</v>
      </c>
      <c r="T81" t="s">
        <v>373</v>
      </c>
      <c r="U81" t="s">
        <v>374</v>
      </c>
      <c r="V81" t="s">
        <v>375</v>
      </c>
      <c r="W81">
        <v>7</v>
      </c>
    </row>
    <row r="82" spans="1:23" x14ac:dyDescent="0.3">
      <c r="A82">
        <v>49517749</v>
      </c>
      <c r="B82" s="1">
        <v>46057</v>
      </c>
      <c r="C82">
        <v>4</v>
      </c>
      <c r="D82">
        <v>2</v>
      </c>
      <c r="E82">
        <v>2026</v>
      </c>
      <c r="F82" t="s">
        <v>23</v>
      </c>
      <c r="G82" t="s">
        <v>24</v>
      </c>
      <c r="H82" t="s">
        <v>25</v>
      </c>
      <c r="I82" t="s">
        <v>96</v>
      </c>
      <c r="J82" t="s">
        <v>97</v>
      </c>
      <c r="K82" t="s">
        <v>28</v>
      </c>
      <c r="L82" t="s">
        <v>29</v>
      </c>
      <c r="M82" t="s">
        <v>30</v>
      </c>
      <c r="N82" t="s">
        <v>31</v>
      </c>
      <c r="O82" t="s">
        <v>32</v>
      </c>
      <c r="P82" t="s">
        <v>98</v>
      </c>
      <c r="Q82" t="s">
        <v>99</v>
      </c>
      <c r="R82" t="s">
        <v>376</v>
      </c>
      <c r="S82" t="s">
        <v>36</v>
      </c>
      <c r="T82" t="s">
        <v>37</v>
      </c>
      <c r="U82" t="s">
        <v>38</v>
      </c>
      <c r="V82" t="s">
        <v>39</v>
      </c>
      <c r="W82">
        <v>9</v>
      </c>
    </row>
    <row r="83" spans="1:23" x14ac:dyDescent="0.3">
      <c r="A83">
        <v>48665827</v>
      </c>
      <c r="B83" s="1">
        <v>46037</v>
      </c>
      <c r="C83">
        <v>15</v>
      </c>
      <c r="D83">
        <v>1</v>
      </c>
      <c r="E83">
        <v>2026</v>
      </c>
      <c r="F83" t="s">
        <v>23</v>
      </c>
      <c r="G83" t="s">
        <v>24</v>
      </c>
      <c r="H83" t="s">
        <v>25</v>
      </c>
      <c r="I83" t="s">
        <v>251</v>
      </c>
      <c r="J83" t="s">
        <v>252</v>
      </c>
      <c r="K83" t="s">
        <v>28</v>
      </c>
      <c r="L83" t="s">
        <v>29</v>
      </c>
      <c r="M83" t="s">
        <v>30</v>
      </c>
      <c r="N83" t="s">
        <v>31</v>
      </c>
      <c r="O83" t="s">
        <v>32</v>
      </c>
      <c r="P83" t="s">
        <v>125</v>
      </c>
      <c r="Q83" t="s">
        <v>253</v>
      </c>
      <c r="R83" t="s">
        <v>377</v>
      </c>
      <c r="S83" t="s">
        <v>47</v>
      </c>
      <c r="T83" t="s">
        <v>120</v>
      </c>
      <c r="U83" t="s">
        <v>121</v>
      </c>
      <c r="V83" t="s">
        <v>122</v>
      </c>
      <c r="W83">
        <v>2</v>
      </c>
    </row>
    <row r="84" spans="1:23" x14ac:dyDescent="0.3">
      <c r="A84">
        <v>48675300</v>
      </c>
      <c r="B84" s="1">
        <v>46038</v>
      </c>
      <c r="C84">
        <v>16</v>
      </c>
      <c r="D84">
        <v>1</v>
      </c>
      <c r="E84">
        <v>2026</v>
      </c>
      <c r="F84" t="s">
        <v>23</v>
      </c>
      <c r="G84" t="s">
        <v>24</v>
      </c>
      <c r="H84" t="s">
        <v>25</v>
      </c>
      <c r="I84" t="s">
        <v>281</v>
      </c>
      <c r="J84" t="s">
        <v>282</v>
      </c>
      <c r="K84" t="s">
        <v>28</v>
      </c>
      <c r="L84" t="s">
        <v>29</v>
      </c>
      <c r="M84" t="s">
        <v>30</v>
      </c>
      <c r="N84" t="s">
        <v>31</v>
      </c>
      <c r="O84" t="s">
        <v>32</v>
      </c>
      <c r="P84" t="s">
        <v>283</v>
      </c>
      <c r="Q84" t="s">
        <v>284</v>
      </c>
      <c r="R84" t="s">
        <v>378</v>
      </c>
      <c r="S84" t="s">
        <v>47</v>
      </c>
      <c r="T84" t="s">
        <v>113</v>
      </c>
      <c r="U84" t="s">
        <v>379</v>
      </c>
      <c r="V84" t="s">
        <v>380</v>
      </c>
      <c r="W84">
        <v>4</v>
      </c>
    </row>
    <row r="85" spans="1:23" x14ac:dyDescent="0.3">
      <c r="A85">
        <v>49961777</v>
      </c>
      <c r="B85" s="1">
        <v>46065</v>
      </c>
      <c r="C85">
        <v>12</v>
      </c>
      <c r="D85">
        <v>2</v>
      </c>
      <c r="E85">
        <v>2026</v>
      </c>
      <c r="F85" t="s">
        <v>23</v>
      </c>
      <c r="G85" t="s">
        <v>24</v>
      </c>
      <c r="H85" t="s">
        <v>25</v>
      </c>
      <c r="I85" t="s">
        <v>26</v>
      </c>
      <c r="J85" t="s">
        <v>27</v>
      </c>
      <c r="K85" t="s">
        <v>28</v>
      </c>
      <c r="L85" t="s">
        <v>29</v>
      </c>
      <c r="M85" t="s">
        <v>30</v>
      </c>
      <c r="N85" t="s">
        <v>31</v>
      </c>
      <c r="O85" t="s">
        <v>32</v>
      </c>
      <c r="P85" t="s">
        <v>33</v>
      </c>
      <c r="Q85" t="s">
        <v>34</v>
      </c>
      <c r="R85" t="s">
        <v>381</v>
      </c>
      <c r="S85" t="s">
        <v>63</v>
      </c>
      <c r="T85" t="s">
        <v>164</v>
      </c>
      <c r="U85" t="s">
        <v>197</v>
      </c>
      <c r="V85" t="s">
        <v>198</v>
      </c>
      <c r="W85">
        <v>5</v>
      </c>
    </row>
    <row r="86" spans="1:23" x14ac:dyDescent="0.3">
      <c r="A86">
        <v>49395894</v>
      </c>
      <c r="B86" s="1">
        <v>46055</v>
      </c>
      <c r="C86">
        <v>2</v>
      </c>
      <c r="D86">
        <v>2</v>
      </c>
      <c r="E86">
        <v>2026</v>
      </c>
      <c r="F86" t="s">
        <v>23</v>
      </c>
      <c r="G86" t="s">
        <v>24</v>
      </c>
      <c r="H86" t="s">
        <v>25</v>
      </c>
      <c r="I86" t="s">
        <v>382</v>
      </c>
      <c r="J86" t="s">
        <v>383</v>
      </c>
      <c r="K86" t="s">
        <v>28</v>
      </c>
      <c r="L86" t="s">
        <v>29</v>
      </c>
      <c r="M86" t="s">
        <v>30</v>
      </c>
      <c r="N86" t="s">
        <v>174</v>
      </c>
      <c r="O86" t="s">
        <v>175</v>
      </c>
      <c r="P86" t="s">
        <v>176</v>
      </c>
      <c r="Q86" t="s">
        <v>177</v>
      </c>
      <c r="R86" t="s">
        <v>384</v>
      </c>
      <c r="S86" t="s">
        <v>47</v>
      </c>
      <c r="T86" t="s">
        <v>101</v>
      </c>
      <c r="U86" t="s">
        <v>102</v>
      </c>
      <c r="V86" t="s">
        <v>103</v>
      </c>
      <c r="W86">
        <v>6</v>
      </c>
    </row>
    <row r="87" spans="1:23" x14ac:dyDescent="0.3">
      <c r="A87">
        <v>49961968</v>
      </c>
      <c r="B87" s="1">
        <v>46065</v>
      </c>
      <c r="C87">
        <v>12</v>
      </c>
      <c r="D87">
        <v>2</v>
      </c>
      <c r="E87">
        <v>2026</v>
      </c>
      <c r="F87" t="s">
        <v>23</v>
      </c>
      <c r="G87" t="s">
        <v>24</v>
      </c>
      <c r="H87" t="s">
        <v>25</v>
      </c>
      <c r="I87" t="s">
        <v>385</v>
      </c>
      <c r="J87" t="s">
        <v>386</v>
      </c>
      <c r="K87" t="s">
        <v>28</v>
      </c>
      <c r="L87" t="s">
        <v>29</v>
      </c>
      <c r="M87" t="s">
        <v>30</v>
      </c>
      <c r="N87" t="s">
        <v>31</v>
      </c>
      <c r="O87" t="s">
        <v>138</v>
      </c>
      <c r="P87" t="s">
        <v>348</v>
      </c>
      <c r="Q87" t="s">
        <v>387</v>
      </c>
      <c r="R87" t="s">
        <v>381</v>
      </c>
      <c r="S87" t="s">
        <v>63</v>
      </c>
      <c r="T87" t="s">
        <v>164</v>
      </c>
      <c r="U87" t="s">
        <v>197</v>
      </c>
      <c r="V87" t="s">
        <v>198</v>
      </c>
      <c r="W87">
        <v>2</v>
      </c>
    </row>
    <row r="88" spans="1:23" x14ac:dyDescent="0.3">
      <c r="A88">
        <v>49303486</v>
      </c>
      <c r="B88" s="1">
        <v>46053</v>
      </c>
      <c r="C88">
        <v>31</v>
      </c>
      <c r="D88">
        <v>1</v>
      </c>
      <c r="E88">
        <v>2026</v>
      </c>
      <c r="F88" t="s">
        <v>23</v>
      </c>
      <c r="G88" t="s">
        <v>24</v>
      </c>
      <c r="H88" t="s">
        <v>25</v>
      </c>
      <c r="I88" t="s">
        <v>388</v>
      </c>
      <c r="J88" t="s">
        <v>389</v>
      </c>
      <c r="K88" t="s">
        <v>390</v>
      </c>
      <c r="L88" t="s">
        <v>29</v>
      </c>
      <c r="M88" t="s">
        <v>30</v>
      </c>
      <c r="N88" t="s">
        <v>42</v>
      </c>
      <c r="O88" t="s">
        <v>43</v>
      </c>
      <c r="P88" t="s">
        <v>44</v>
      </c>
      <c r="Q88" t="s">
        <v>391</v>
      </c>
      <c r="R88" t="s">
        <v>392</v>
      </c>
      <c r="S88" t="s">
        <v>36</v>
      </c>
      <c r="T88" t="s">
        <v>179</v>
      </c>
      <c r="U88" t="s">
        <v>180</v>
      </c>
      <c r="V88" t="s">
        <v>181</v>
      </c>
      <c r="W88">
        <v>8</v>
      </c>
    </row>
    <row r="89" spans="1:23" x14ac:dyDescent="0.3">
      <c r="A89">
        <v>50023797</v>
      </c>
      <c r="B89" s="1">
        <v>46066</v>
      </c>
      <c r="C89">
        <v>13</v>
      </c>
      <c r="D89">
        <v>2</v>
      </c>
      <c r="E89">
        <v>2026</v>
      </c>
      <c r="F89" t="s">
        <v>23</v>
      </c>
      <c r="G89" t="s">
        <v>24</v>
      </c>
      <c r="H89" t="s">
        <v>25</v>
      </c>
      <c r="I89" t="s">
        <v>385</v>
      </c>
      <c r="J89" t="s">
        <v>386</v>
      </c>
      <c r="K89" t="s">
        <v>28</v>
      </c>
      <c r="L89" t="s">
        <v>29</v>
      </c>
      <c r="M89" t="s">
        <v>30</v>
      </c>
      <c r="N89" t="s">
        <v>31</v>
      </c>
      <c r="O89" t="s">
        <v>138</v>
      </c>
      <c r="P89" t="s">
        <v>348</v>
      </c>
      <c r="Q89" t="s">
        <v>387</v>
      </c>
      <c r="R89" t="s">
        <v>393</v>
      </c>
      <c r="S89" t="s">
        <v>63</v>
      </c>
      <c r="T89" t="s">
        <v>164</v>
      </c>
      <c r="U89" t="s">
        <v>293</v>
      </c>
      <c r="V89" t="s">
        <v>314</v>
      </c>
      <c r="W89">
        <v>6</v>
      </c>
    </row>
    <row r="90" spans="1:23" x14ac:dyDescent="0.3">
      <c r="A90">
        <v>49303950</v>
      </c>
      <c r="B90" s="1">
        <v>46054</v>
      </c>
      <c r="C90">
        <v>1</v>
      </c>
      <c r="D90">
        <v>2</v>
      </c>
      <c r="E90">
        <v>2026</v>
      </c>
      <c r="F90" t="s">
        <v>23</v>
      </c>
      <c r="G90" t="s">
        <v>24</v>
      </c>
      <c r="H90" t="s">
        <v>25</v>
      </c>
      <c r="I90" t="s">
        <v>217</v>
      </c>
      <c r="J90" t="s">
        <v>218</v>
      </c>
      <c r="K90" t="s">
        <v>28</v>
      </c>
      <c r="L90" t="s">
        <v>29</v>
      </c>
      <c r="M90" t="s">
        <v>30</v>
      </c>
      <c r="N90" t="s">
        <v>31</v>
      </c>
      <c r="O90" t="s">
        <v>32</v>
      </c>
      <c r="P90" t="s">
        <v>125</v>
      </c>
      <c r="Q90" t="s">
        <v>219</v>
      </c>
      <c r="R90" t="s">
        <v>394</v>
      </c>
      <c r="S90" t="s">
        <v>63</v>
      </c>
      <c r="T90" t="s">
        <v>154</v>
      </c>
      <c r="U90" t="s">
        <v>155</v>
      </c>
      <c r="V90" t="s">
        <v>156</v>
      </c>
      <c r="W90">
        <v>1</v>
      </c>
    </row>
    <row r="91" spans="1:23" x14ac:dyDescent="0.3">
      <c r="A91">
        <v>48722320</v>
      </c>
      <c r="B91" s="1">
        <v>46042</v>
      </c>
      <c r="C91">
        <v>20</v>
      </c>
      <c r="D91">
        <v>1</v>
      </c>
      <c r="E91">
        <v>2026</v>
      </c>
      <c r="F91" t="s">
        <v>23</v>
      </c>
      <c r="G91" t="s">
        <v>24</v>
      </c>
      <c r="H91" t="s">
        <v>25</v>
      </c>
      <c r="I91" t="s">
        <v>150</v>
      </c>
      <c r="J91" t="s">
        <v>151</v>
      </c>
      <c r="K91" t="s">
        <v>28</v>
      </c>
      <c r="L91" t="s">
        <v>29</v>
      </c>
      <c r="M91" t="s">
        <v>30</v>
      </c>
      <c r="N91" t="s">
        <v>31</v>
      </c>
      <c r="O91" t="s">
        <v>32</v>
      </c>
      <c r="P91" t="s">
        <v>125</v>
      </c>
      <c r="Q91" t="s">
        <v>152</v>
      </c>
      <c r="R91" t="s">
        <v>395</v>
      </c>
      <c r="S91" t="s">
        <v>47</v>
      </c>
      <c r="T91" t="s">
        <v>373</v>
      </c>
      <c r="U91" t="s">
        <v>374</v>
      </c>
      <c r="V91" t="s">
        <v>375</v>
      </c>
      <c r="W91">
        <v>0</v>
      </c>
    </row>
    <row r="92" spans="1:23" x14ac:dyDescent="0.3">
      <c r="A92">
        <v>50032498</v>
      </c>
      <c r="B92" s="1">
        <v>46068</v>
      </c>
      <c r="C92">
        <v>15</v>
      </c>
      <c r="D92">
        <v>2</v>
      </c>
      <c r="E92">
        <v>2026</v>
      </c>
      <c r="F92" t="s">
        <v>23</v>
      </c>
      <c r="G92" t="s">
        <v>24</v>
      </c>
      <c r="H92" t="s">
        <v>25</v>
      </c>
      <c r="I92" t="s">
        <v>396</v>
      </c>
      <c r="J92" t="s">
        <v>397</v>
      </c>
      <c r="K92" t="s">
        <v>28</v>
      </c>
      <c r="L92" t="s">
        <v>29</v>
      </c>
      <c r="M92" t="s">
        <v>30</v>
      </c>
      <c r="N92" t="s">
        <v>31</v>
      </c>
      <c r="O92" t="s">
        <v>398</v>
      </c>
      <c r="P92" t="s">
        <v>399</v>
      </c>
      <c r="Q92" t="s">
        <v>400</v>
      </c>
      <c r="R92" t="s">
        <v>401</v>
      </c>
      <c r="S92" t="s">
        <v>63</v>
      </c>
      <c r="T92" t="s">
        <v>164</v>
      </c>
      <c r="U92" t="s">
        <v>402</v>
      </c>
      <c r="V92" t="s">
        <v>403</v>
      </c>
      <c r="W92">
        <v>0</v>
      </c>
    </row>
    <row r="93" spans="1:23" x14ac:dyDescent="0.3">
      <c r="A93">
        <v>49512911</v>
      </c>
      <c r="B93" s="1">
        <v>46057</v>
      </c>
      <c r="C93">
        <v>4</v>
      </c>
      <c r="D93">
        <v>2</v>
      </c>
      <c r="E93">
        <v>2026</v>
      </c>
      <c r="F93" t="s">
        <v>23</v>
      </c>
      <c r="G93" t="s">
        <v>24</v>
      </c>
      <c r="H93" t="s">
        <v>25</v>
      </c>
      <c r="I93" t="s">
        <v>258</v>
      </c>
      <c r="J93" t="s">
        <v>259</v>
      </c>
      <c r="K93" t="s">
        <v>28</v>
      </c>
      <c r="L93" t="s">
        <v>29</v>
      </c>
      <c r="M93" t="s">
        <v>30</v>
      </c>
      <c r="N93" t="s">
        <v>31</v>
      </c>
      <c r="O93" t="s">
        <v>32</v>
      </c>
      <c r="P93" t="s">
        <v>260</v>
      </c>
      <c r="Q93" t="s">
        <v>261</v>
      </c>
      <c r="R93" t="s">
        <v>404</v>
      </c>
      <c r="S93" t="s">
        <v>36</v>
      </c>
      <c r="T93" t="s">
        <v>37</v>
      </c>
      <c r="U93" t="s">
        <v>38</v>
      </c>
      <c r="V93" t="s">
        <v>39</v>
      </c>
      <c r="W93">
        <v>0</v>
      </c>
    </row>
    <row r="94" spans="1:23" x14ac:dyDescent="0.3">
      <c r="A94">
        <v>49303225</v>
      </c>
      <c r="B94" s="1">
        <v>46053</v>
      </c>
      <c r="C94">
        <v>31</v>
      </c>
      <c r="D94">
        <v>1</v>
      </c>
      <c r="E94">
        <v>2026</v>
      </c>
      <c r="F94" t="s">
        <v>23</v>
      </c>
      <c r="G94" t="s">
        <v>24</v>
      </c>
      <c r="H94" t="s">
        <v>25</v>
      </c>
      <c r="I94" t="s">
        <v>327</v>
      </c>
      <c r="J94" t="s">
        <v>328</v>
      </c>
      <c r="K94" t="s">
        <v>28</v>
      </c>
      <c r="L94" t="s">
        <v>29</v>
      </c>
      <c r="M94" t="s">
        <v>30</v>
      </c>
      <c r="N94" t="s">
        <v>174</v>
      </c>
      <c r="O94" t="s">
        <v>175</v>
      </c>
      <c r="P94" t="s">
        <v>176</v>
      </c>
      <c r="Q94" t="s">
        <v>177</v>
      </c>
      <c r="R94" t="s">
        <v>405</v>
      </c>
      <c r="S94" t="s">
        <v>47</v>
      </c>
      <c r="T94" t="s">
        <v>120</v>
      </c>
      <c r="U94" t="s">
        <v>233</v>
      </c>
      <c r="V94" t="s">
        <v>234</v>
      </c>
      <c r="W94">
        <v>3</v>
      </c>
    </row>
    <row r="95" spans="1:23" x14ac:dyDescent="0.3">
      <c r="A95">
        <v>49304004</v>
      </c>
      <c r="B95" s="1">
        <v>46054</v>
      </c>
      <c r="C95">
        <v>1</v>
      </c>
      <c r="D95">
        <v>2</v>
      </c>
      <c r="E95">
        <v>2026</v>
      </c>
      <c r="F95" t="s">
        <v>23</v>
      </c>
      <c r="G95" t="s">
        <v>24</v>
      </c>
      <c r="H95" t="s">
        <v>25</v>
      </c>
      <c r="I95" t="s">
        <v>406</v>
      </c>
      <c r="J95" t="s">
        <v>407</v>
      </c>
      <c r="K95" t="s">
        <v>28</v>
      </c>
      <c r="L95" t="s">
        <v>29</v>
      </c>
      <c r="M95" t="s">
        <v>30</v>
      </c>
      <c r="N95" t="s">
        <v>31</v>
      </c>
      <c r="O95" t="s">
        <v>32</v>
      </c>
      <c r="P95" t="s">
        <v>98</v>
      </c>
      <c r="Q95" t="s">
        <v>99</v>
      </c>
      <c r="R95" t="s">
        <v>408</v>
      </c>
      <c r="S95" t="s">
        <v>63</v>
      </c>
      <c r="T95" t="s">
        <v>154</v>
      </c>
      <c r="U95" t="s">
        <v>155</v>
      </c>
      <c r="V95" t="s">
        <v>171</v>
      </c>
      <c r="W95">
        <v>5</v>
      </c>
    </row>
    <row r="96" spans="1:23" x14ac:dyDescent="0.3">
      <c r="A96">
        <v>49724523</v>
      </c>
      <c r="B96" s="1">
        <v>46057</v>
      </c>
      <c r="C96">
        <v>4</v>
      </c>
      <c r="D96">
        <v>2</v>
      </c>
      <c r="E96">
        <v>2026</v>
      </c>
      <c r="F96" t="s">
        <v>23</v>
      </c>
      <c r="G96" t="s">
        <v>24</v>
      </c>
      <c r="H96" t="s">
        <v>25</v>
      </c>
      <c r="I96" t="s">
        <v>409</v>
      </c>
      <c r="J96" t="s">
        <v>410</v>
      </c>
      <c r="K96" t="s">
        <v>28</v>
      </c>
      <c r="L96" t="s">
        <v>29</v>
      </c>
      <c r="M96" t="s">
        <v>30</v>
      </c>
      <c r="N96" t="s">
        <v>42</v>
      </c>
      <c r="O96" t="s">
        <v>43</v>
      </c>
      <c r="P96" t="s">
        <v>44</v>
      </c>
      <c r="Q96" t="s">
        <v>391</v>
      </c>
      <c r="R96" t="s">
        <v>411</v>
      </c>
      <c r="S96" t="s">
        <v>36</v>
      </c>
      <c r="T96" t="s">
        <v>37</v>
      </c>
      <c r="U96" t="s">
        <v>38</v>
      </c>
      <c r="V96" t="s">
        <v>39</v>
      </c>
      <c r="W96">
        <v>6</v>
      </c>
    </row>
    <row r="97" spans="1:23" x14ac:dyDescent="0.3">
      <c r="A97">
        <v>48675301</v>
      </c>
      <c r="B97" s="1">
        <v>46038</v>
      </c>
      <c r="C97">
        <v>16</v>
      </c>
      <c r="D97">
        <v>1</v>
      </c>
      <c r="E97">
        <v>2026</v>
      </c>
      <c r="F97" t="s">
        <v>23</v>
      </c>
      <c r="G97" t="s">
        <v>24</v>
      </c>
      <c r="H97" t="s">
        <v>25</v>
      </c>
      <c r="I97" t="s">
        <v>26</v>
      </c>
      <c r="J97" t="s">
        <v>27</v>
      </c>
      <c r="K97" t="s">
        <v>28</v>
      </c>
      <c r="L97" t="s">
        <v>29</v>
      </c>
      <c r="M97" t="s">
        <v>30</v>
      </c>
      <c r="N97" t="s">
        <v>31</v>
      </c>
      <c r="O97" t="s">
        <v>32</v>
      </c>
      <c r="P97" t="s">
        <v>33</v>
      </c>
      <c r="Q97" t="s">
        <v>34</v>
      </c>
      <c r="R97" t="s">
        <v>412</v>
      </c>
      <c r="S97" t="s">
        <v>47</v>
      </c>
      <c r="T97" t="s">
        <v>113</v>
      </c>
      <c r="U97" t="s">
        <v>379</v>
      </c>
      <c r="V97" t="s">
        <v>380</v>
      </c>
      <c r="W97">
        <v>7</v>
      </c>
    </row>
    <row r="98" spans="1:23" x14ac:dyDescent="0.3">
      <c r="A98">
        <v>49298823</v>
      </c>
      <c r="B98" s="1">
        <v>46053</v>
      </c>
      <c r="C98">
        <v>31</v>
      </c>
      <c r="D98">
        <v>1</v>
      </c>
      <c r="E98">
        <v>2026</v>
      </c>
      <c r="F98" t="s">
        <v>23</v>
      </c>
      <c r="G98" t="s">
        <v>24</v>
      </c>
      <c r="H98" t="s">
        <v>25</v>
      </c>
      <c r="I98" t="s">
        <v>413</v>
      </c>
      <c r="J98" t="s">
        <v>414</v>
      </c>
      <c r="K98" t="s">
        <v>28</v>
      </c>
      <c r="L98" t="s">
        <v>29</v>
      </c>
      <c r="M98" t="s">
        <v>30</v>
      </c>
      <c r="N98" t="s">
        <v>31</v>
      </c>
      <c r="O98" t="s">
        <v>415</v>
      </c>
      <c r="P98" t="s">
        <v>416</v>
      </c>
      <c r="Q98" t="s">
        <v>417</v>
      </c>
      <c r="R98" t="s">
        <v>418</v>
      </c>
      <c r="S98" t="s">
        <v>47</v>
      </c>
      <c r="T98" t="s">
        <v>120</v>
      </c>
      <c r="U98" t="s">
        <v>233</v>
      </c>
      <c r="V98" t="s">
        <v>234</v>
      </c>
      <c r="W98">
        <v>8</v>
      </c>
    </row>
    <row r="99" spans="1:23" x14ac:dyDescent="0.3">
      <c r="A99">
        <v>49888150</v>
      </c>
      <c r="B99" s="1">
        <v>46064</v>
      </c>
      <c r="C99">
        <v>11</v>
      </c>
      <c r="D99">
        <v>2</v>
      </c>
      <c r="E99">
        <v>2026</v>
      </c>
      <c r="F99" t="s">
        <v>23</v>
      </c>
      <c r="G99" t="s">
        <v>24</v>
      </c>
      <c r="H99" t="s">
        <v>25</v>
      </c>
      <c r="I99" t="s">
        <v>150</v>
      </c>
      <c r="J99" t="s">
        <v>151</v>
      </c>
      <c r="K99" t="s">
        <v>28</v>
      </c>
      <c r="L99" t="s">
        <v>29</v>
      </c>
      <c r="M99" t="s">
        <v>30</v>
      </c>
      <c r="N99" t="s">
        <v>31</v>
      </c>
      <c r="O99" t="s">
        <v>32</v>
      </c>
      <c r="P99" t="s">
        <v>125</v>
      </c>
      <c r="Q99" t="s">
        <v>152</v>
      </c>
      <c r="R99" t="s">
        <v>419</v>
      </c>
      <c r="S99" t="s">
        <v>47</v>
      </c>
      <c r="T99" t="s">
        <v>113</v>
      </c>
      <c r="U99" t="s">
        <v>114</v>
      </c>
      <c r="V99" t="s">
        <v>115</v>
      </c>
      <c r="W99">
        <v>9</v>
      </c>
    </row>
    <row r="100" spans="1:23" x14ac:dyDescent="0.3">
      <c r="A100">
        <v>49962485</v>
      </c>
      <c r="B100" s="1">
        <v>46065</v>
      </c>
      <c r="C100">
        <v>12</v>
      </c>
      <c r="D100">
        <v>2</v>
      </c>
      <c r="E100">
        <v>2026</v>
      </c>
      <c r="F100" t="s">
        <v>23</v>
      </c>
      <c r="G100" t="s">
        <v>24</v>
      </c>
      <c r="H100" t="s">
        <v>25</v>
      </c>
      <c r="I100" t="s">
        <v>420</v>
      </c>
      <c r="J100" t="s">
        <v>421</v>
      </c>
      <c r="K100" t="s">
        <v>28</v>
      </c>
      <c r="L100" t="s">
        <v>29</v>
      </c>
      <c r="M100" t="s">
        <v>30</v>
      </c>
      <c r="N100" t="s">
        <v>42</v>
      </c>
      <c r="O100" t="s">
        <v>43</v>
      </c>
      <c r="P100" t="s">
        <v>44</v>
      </c>
      <c r="Q100" t="s">
        <v>391</v>
      </c>
      <c r="R100" t="s">
        <v>239</v>
      </c>
      <c r="S100" t="s">
        <v>47</v>
      </c>
      <c r="T100" t="s">
        <v>48</v>
      </c>
      <c r="U100" t="s">
        <v>183</v>
      </c>
      <c r="V100" t="s">
        <v>184</v>
      </c>
      <c r="W100">
        <v>2</v>
      </c>
    </row>
    <row r="101" spans="1:23" x14ac:dyDescent="0.3">
      <c r="A101">
        <v>49249979</v>
      </c>
      <c r="B101" s="1">
        <v>46051</v>
      </c>
      <c r="C101">
        <v>29</v>
      </c>
      <c r="D101">
        <v>1</v>
      </c>
      <c r="E101">
        <v>2026</v>
      </c>
      <c r="F101" t="s">
        <v>23</v>
      </c>
      <c r="G101" t="s">
        <v>24</v>
      </c>
      <c r="H101" t="s">
        <v>25</v>
      </c>
      <c r="I101" t="s">
        <v>422</v>
      </c>
      <c r="J101" t="s">
        <v>423</v>
      </c>
      <c r="K101" t="s">
        <v>28</v>
      </c>
      <c r="L101" t="s">
        <v>29</v>
      </c>
      <c r="M101" t="s">
        <v>30</v>
      </c>
      <c r="N101" t="s">
        <v>31</v>
      </c>
      <c r="O101" t="s">
        <v>424</v>
      </c>
      <c r="P101" t="s">
        <v>425</v>
      </c>
      <c r="Q101" t="s">
        <v>426</v>
      </c>
      <c r="R101" t="s">
        <v>427</v>
      </c>
      <c r="S101" t="s">
        <v>63</v>
      </c>
      <c r="T101" t="s">
        <v>164</v>
      </c>
      <c r="U101" t="s">
        <v>197</v>
      </c>
      <c r="V101" t="s">
        <v>229</v>
      </c>
      <c r="W101">
        <v>5</v>
      </c>
    </row>
    <row r="102" spans="1:23" x14ac:dyDescent="0.3">
      <c r="A102">
        <v>49888476</v>
      </c>
      <c r="B102" s="1">
        <v>46062</v>
      </c>
      <c r="C102">
        <v>9</v>
      </c>
      <c r="D102">
        <v>2</v>
      </c>
      <c r="E102">
        <v>2026</v>
      </c>
      <c r="F102" t="s">
        <v>23</v>
      </c>
      <c r="G102" t="s">
        <v>24</v>
      </c>
      <c r="H102" t="s">
        <v>25</v>
      </c>
      <c r="I102" t="s">
        <v>428</v>
      </c>
      <c r="J102" t="s">
        <v>429</v>
      </c>
      <c r="K102" t="s">
        <v>28</v>
      </c>
      <c r="L102" t="s">
        <v>29</v>
      </c>
      <c r="M102" t="s">
        <v>271</v>
      </c>
      <c r="N102" t="s">
        <v>272</v>
      </c>
      <c r="O102" t="s">
        <v>305</v>
      </c>
      <c r="P102" t="s">
        <v>430</v>
      </c>
      <c r="Q102" t="s">
        <v>431</v>
      </c>
      <c r="R102" t="s">
        <v>432</v>
      </c>
      <c r="S102" t="s">
        <v>47</v>
      </c>
      <c r="T102" t="s">
        <v>48</v>
      </c>
      <c r="U102" t="s">
        <v>142</v>
      </c>
      <c r="V102" t="s">
        <v>143</v>
      </c>
      <c r="W102">
        <v>5</v>
      </c>
    </row>
    <row r="103" spans="1:23" x14ac:dyDescent="0.3">
      <c r="A103">
        <v>50032163</v>
      </c>
      <c r="B103" s="1">
        <v>46068</v>
      </c>
      <c r="C103">
        <v>15</v>
      </c>
      <c r="D103">
        <v>2</v>
      </c>
      <c r="E103">
        <v>2026</v>
      </c>
      <c r="F103" t="s">
        <v>23</v>
      </c>
      <c r="G103" t="s">
        <v>24</v>
      </c>
      <c r="H103" t="s">
        <v>25</v>
      </c>
      <c r="I103" t="s">
        <v>150</v>
      </c>
      <c r="J103" t="s">
        <v>151</v>
      </c>
      <c r="K103" t="s">
        <v>28</v>
      </c>
      <c r="L103" t="s">
        <v>29</v>
      </c>
      <c r="M103" t="s">
        <v>30</v>
      </c>
      <c r="N103" t="s">
        <v>31</v>
      </c>
      <c r="O103" t="s">
        <v>32</v>
      </c>
      <c r="P103" t="s">
        <v>125</v>
      </c>
      <c r="Q103" t="s">
        <v>152</v>
      </c>
      <c r="R103" t="s">
        <v>433</v>
      </c>
      <c r="S103" t="s">
        <v>63</v>
      </c>
      <c r="T103" t="s">
        <v>164</v>
      </c>
      <c r="U103" t="s">
        <v>200</v>
      </c>
      <c r="V103" t="s">
        <v>201</v>
      </c>
      <c r="W103">
        <v>0</v>
      </c>
    </row>
    <row r="104" spans="1:23" x14ac:dyDescent="0.3">
      <c r="A104">
        <v>48433119</v>
      </c>
      <c r="B104" s="1">
        <v>46024</v>
      </c>
      <c r="C104">
        <v>2</v>
      </c>
      <c r="D104">
        <v>1</v>
      </c>
      <c r="E104">
        <v>2026</v>
      </c>
      <c r="F104" t="s">
        <v>23</v>
      </c>
      <c r="G104" t="s">
        <v>24</v>
      </c>
      <c r="H104" t="s">
        <v>25</v>
      </c>
      <c r="I104" t="s">
        <v>434</v>
      </c>
      <c r="J104" t="s">
        <v>435</v>
      </c>
      <c r="K104" t="s">
        <v>28</v>
      </c>
      <c r="L104" t="s">
        <v>29</v>
      </c>
      <c r="M104" t="s">
        <v>30</v>
      </c>
      <c r="N104" t="s">
        <v>31</v>
      </c>
      <c r="O104" t="s">
        <v>138</v>
      </c>
      <c r="P104" t="s">
        <v>348</v>
      </c>
      <c r="Q104" t="s">
        <v>387</v>
      </c>
      <c r="R104" t="s">
        <v>436</v>
      </c>
      <c r="S104" t="s">
        <v>47</v>
      </c>
      <c r="T104" t="s">
        <v>210</v>
      </c>
      <c r="U104" t="s">
        <v>437</v>
      </c>
      <c r="V104" t="s">
        <v>438</v>
      </c>
      <c r="W104">
        <v>0</v>
      </c>
    </row>
    <row r="105" spans="1:23" x14ac:dyDescent="0.3">
      <c r="A105">
        <v>49961832</v>
      </c>
      <c r="B105" s="1">
        <v>46065</v>
      </c>
      <c r="C105">
        <v>12</v>
      </c>
      <c r="D105">
        <v>2</v>
      </c>
      <c r="E105">
        <v>2026</v>
      </c>
      <c r="F105" t="s">
        <v>23</v>
      </c>
      <c r="G105" t="s">
        <v>24</v>
      </c>
      <c r="H105" t="s">
        <v>25</v>
      </c>
      <c r="I105" t="s">
        <v>317</v>
      </c>
      <c r="J105" t="s">
        <v>318</v>
      </c>
      <c r="K105" t="s">
        <v>28</v>
      </c>
      <c r="L105" t="s">
        <v>29</v>
      </c>
      <c r="M105" t="s">
        <v>30</v>
      </c>
      <c r="N105" t="s">
        <v>31</v>
      </c>
      <c r="O105" t="s">
        <v>132</v>
      </c>
      <c r="P105" t="s">
        <v>226</v>
      </c>
      <c r="Q105" t="s">
        <v>227</v>
      </c>
      <c r="R105" t="s">
        <v>196</v>
      </c>
      <c r="S105" t="s">
        <v>63</v>
      </c>
      <c r="T105" t="s">
        <v>164</v>
      </c>
      <c r="U105" t="s">
        <v>197</v>
      </c>
      <c r="V105" t="s">
        <v>198</v>
      </c>
      <c r="W105">
        <v>5</v>
      </c>
    </row>
    <row r="106" spans="1:23" x14ac:dyDescent="0.3">
      <c r="A106">
        <v>50026505</v>
      </c>
      <c r="B106" s="1">
        <v>46066</v>
      </c>
      <c r="C106">
        <v>13</v>
      </c>
      <c r="D106">
        <v>2</v>
      </c>
      <c r="E106">
        <v>2026</v>
      </c>
      <c r="F106" t="s">
        <v>23</v>
      </c>
      <c r="G106" t="s">
        <v>24</v>
      </c>
      <c r="H106" t="s">
        <v>25</v>
      </c>
      <c r="I106" t="s">
        <v>422</v>
      </c>
      <c r="J106" t="s">
        <v>423</v>
      </c>
      <c r="K106" t="s">
        <v>28</v>
      </c>
      <c r="L106" t="s">
        <v>29</v>
      </c>
      <c r="M106" t="s">
        <v>30</v>
      </c>
      <c r="N106" t="s">
        <v>31</v>
      </c>
      <c r="O106" t="s">
        <v>424</v>
      </c>
      <c r="P106" t="s">
        <v>425</v>
      </c>
      <c r="Q106" t="s">
        <v>426</v>
      </c>
      <c r="R106" t="s">
        <v>393</v>
      </c>
      <c r="S106" t="s">
        <v>63</v>
      </c>
      <c r="T106" t="s">
        <v>164</v>
      </c>
      <c r="U106" t="s">
        <v>293</v>
      </c>
      <c r="V106" t="s">
        <v>314</v>
      </c>
      <c r="W106">
        <v>4</v>
      </c>
    </row>
    <row r="107" spans="1:23" x14ac:dyDescent="0.3">
      <c r="A107">
        <v>48471820</v>
      </c>
      <c r="B107" s="1">
        <v>46024</v>
      </c>
      <c r="C107">
        <v>2</v>
      </c>
      <c r="D107">
        <v>1</v>
      </c>
      <c r="E107">
        <v>2026</v>
      </c>
      <c r="F107" t="s">
        <v>23</v>
      </c>
      <c r="G107" t="s">
        <v>24</v>
      </c>
      <c r="H107" t="s">
        <v>25</v>
      </c>
      <c r="I107" t="s">
        <v>439</v>
      </c>
      <c r="J107" t="s">
        <v>440</v>
      </c>
      <c r="K107" t="s">
        <v>28</v>
      </c>
      <c r="L107" t="s">
        <v>29</v>
      </c>
      <c r="M107" t="s">
        <v>30</v>
      </c>
      <c r="N107" t="s">
        <v>31</v>
      </c>
      <c r="O107" t="s">
        <v>132</v>
      </c>
      <c r="P107" t="s">
        <v>226</v>
      </c>
      <c r="Q107" t="s">
        <v>227</v>
      </c>
      <c r="R107" t="s">
        <v>441</v>
      </c>
      <c r="S107" t="s">
        <v>47</v>
      </c>
      <c r="T107" t="s">
        <v>210</v>
      </c>
      <c r="U107" t="s">
        <v>437</v>
      </c>
      <c r="V107" t="s">
        <v>438</v>
      </c>
      <c r="W107">
        <v>6</v>
      </c>
    </row>
    <row r="108" spans="1:23" x14ac:dyDescent="0.3">
      <c r="A108">
        <v>49724495</v>
      </c>
      <c r="B108" s="1">
        <v>46050</v>
      </c>
      <c r="C108">
        <v>28</v>
      </c>
      <c r="D108">
        <v>1</v>
      </c>
      <c r="E108">
        <v>2026</v>
      </c>
      <c r="F108" t="s">
        <v>23</v>
      </c>
      <c r="G108" t="s">
        <v>24</v>
      </c>
      <c r="H108" t="s">
        <v>25</v>
      </c>
      <c r="I108" t="s">
        <v>281</v>
      </c>
      <c r="J108" t="s">
        <v>282</v>
      </c>
      <c r="K108" t="s">
        <v>28</v>
      </c>
      <c r="L108" t="s">
        <v>29</v>
      </c>
      <c r="M108" t="s">
        <v>30</v>
      </c>
      <c r="N108" t="s">
        <v>31</v>
      </c>
      <c r="O108" t="s">
        <v>32</v>
      </c>
      <c r="P108" t="s">
        <v>283</v>
      </c>
      <c r="Q108" t="s">
        <v>284</v>
      </c>
      <c r="R108" t="s">
        <v>442</v>
      </c>
      <c r="S108" t="s">
        <v>47</v>
      </c>
      <c r="T108" t="s">
        <v>113</v>
      </c>
      <c r="U108" t="s">
        <v>148</v>
      </c>
      <c r="V108" t="s">
        <v>149</v>
      </c>
      <c r="W108">
        <v>2</v>
      </c>
    </row>
    <row r="109" spans="1:23" x14ac:dyDescent="0.3">
      <c r="A109">
        <v>49512957</v>
      </c>
      <c r="B109" s="1">
        <v>46057</v>
      </c>
      <c r="C109">
        <v>4</v>
      </c>
      <c r="D109">
        <v>2</v>
      </c>
      <c r="E109">
        <v>2026</v>
      </c>
      <c r="F109" t="s">
        <v>23</v>
      </c>
      <c r="G109" t="s">
        <v>24</v>
      </c>
      <c r="H109" t="s">
        <v>25</v>
      </c>
      <c r="I109" t="s">
        <v>317</v>
      </c>
      <c r="J109" t="s">
        <v>318</v>
      </c>
      <c r="K109" t="s">
        <v>28</v>
      </c>
      <c r="L109" t="s">
        <v>29</v>
      </c>
      <c r="M109" t="s">
        <v>30</v>
      </c>
      <c r="N109" t="s">
        <v>31</v>
      </c>
      <c r="O109" t="s">
        <v>132</v>
      </c>
      <c r="P109" t="s">
        <v>226</v>
      </c>
      <c r="Q109" t="s">
        <v>227</v>
      </c>
      <c r="R109" t="s">
        <v>443</v>
      </c>
      <c r="S109" t="s">
        <v>63</v>
      </c>
      <c r="T109" t="s">
        <v>164</v>
      </c>
      <c r="U109" t="s">
        <v>444</v>
      </c>
      <c r="V109" t="s">
        <v>445</v>
      </c>
      <c r="W109">
        <v>7</v>
      </c>
    </row>
    <row r="110" spans="1:23" x14ac:dyDescent="0.3">
      <c r="A110">
        <v>49517750</v>
      </c>
      <c r="B110" s="1">
        <v>46057</v>
      </c>
      <c r="C110">
        <v>4</v>
      </c>
      <c r="D110">
        <v>2</v>
      </c>
      <c r="E110">
        <v>2026</v>
      </c>
      <c r="F110" t="s">
        <v>23</v>
      </c>
      <c r="G110" t="s">
        <v>24</v>
      </c>
      <c r="H110" t="s">
        <v>25</v>
      </c>
      <c r="I110" t="s">
        <v>446</v>
      </c>
      <c r="J110" t="s">
        <v>447</v>
      </c>
      <c r="K110" t="s">
        <v>28</v>
      </c>
      <c r="L110" t="s">
        <v>29</v>
      </c>
      <c r="M110" t="s">
        <v>271</v>
      </c>
      <c r="N110" t="s">
        <v>272</v>
      </c>
      <c r="O110" t="s">
        <v>305</v>
      </c>
      <c r="P110" t="s">
        <v>306</v>
      </c>
      <c r="Q110" t="s">
        <v>448</v>
      </c>
      <c r="R110" t="s">
        <v>449</v>
      </c>
      <c r="S110" t="s">
        <v>36</v>
      </c>
      <c r="T110" t="s">
        <v>37</v>
      </c>
      <c r="U110" t="s">
        <v>38</v>
      </c>
      <c r="V110" t="s">
        <v>39</v>
      </c>
      <c r="W110">
        <v>6</v>
      </c>
    </row>
    <row r="111" spans="1:23" x14ac:dyDescent="0.3">
      <c r="A111">
        <v>49516326</v>
      </c>
      <c r="B111" s="1">
        <v>46038</v>
      </c>
      <c r="C111">
        <v>16</v>
      </c>
      <c r="D111">
        <v>1</v>
      </c>
      <c r="E111">
        <v>2026</v>
      </c>
      <c r="F111" t="s">
        <v>23</v>
      </c>
      <c r="G111" t="s">
        <v>24</v>
      </c>
      <c r="H111" t="s">
        <v>25</v>
      </c>
      <c r="I111" t="s">
        <v>96</v>
      </c>
      <c r="J111" t="s">
        <v>97</v>
      </c>
      <c r="K111" t="s">
        <v>28</v>
      </c>
      <c r="L111" t="s">
        <v>29</v>
      </c>
      <c r="M111" t="s">
        <v>30</v>
      </c>
      <c r="N111" t="s">
        <v>31</v>
      </c>
      <c r="O111" t="s">
        <v>32</v>
      </c>
      <c r="P111" t="s">
        <v>98</v>
      </c>
      <c r="Q111" t="s">
        <v>99</v>
      </c>
      <c r="R111" t="s">
        <v>450</v>
      </c>
      <c r="S111" t="s">
        <v>36</v>
      </c>
      <c r="T111" t="s">
        <v>451</v>
      </c>
      <c r="U111" t="s">
        <v>452</v>
      </c>
      <c r="V111" t="s">
        <v>453</v>
      </c>
      <c r="W111">
        <v>2</v>
      </c>
    </row>
    <row r="112" spans="1:23" x14ac:dyDescent="0.3">
      <c r="A112">
        <v>50347508</v>
      </c>
      <c r="B112" s="1">
        <v>46077</v>
      </c>
      <c r="C112">
        <v>24</v>
      </c>
      <c r="D112">
        <v>2</v>
      </c>
      <c r="E112">
        <v>2026</v>
      </c>
      <c r="F112" t="s">
        <v>51</v>
      </c>
      <c r="G112" t="s">
        <v>52</v>
      </c>
      <c r="H112" t="s">
        <v>53</v>
      </c>
      <c r="I112" t="s">
        <v>213</v>
      </c>
      <c r="J112" t="s">
        <v>214</v>
      </c>
      <c r="K112" t="s">
        <v>28</v>
      </c>
      <c r="L112" t="s">
        <v>56</v>
      </c>
      <c r="M112" t="s">
        <v>57</v>
      </c>
      <c r="N112" t="s">
        <v>58</v>
      </c>
      <c r="O112" t="s">
        <v>59</v>
      </c>
      <c r="P112" t="s">
        <v>60</v>
      </c>
      <c r="Q112" t="s">
        <v>215</v>
      </c>
      <c r="R112" t="s">
        <v>454</v>
      </c>
      <c r="S112" t="s">
        <v>63</v>
      </c>
      <c r="T112" t="s">
        <v>64</v>
      </c>
      <c r="U112" t="s">
        <v>455</v>
      </c>
      <c r="V112" t="s">
        <v>456</v>
      </c>
      <c r="W112">
        <v>1</v>
      </c>
    </row>
    <row r="113" spans="1:23" x14ac:dyDescent="0.3">
      <c r="A113">
        <v>49250017</v>
      </c>
      <c r="B113" s="1">
        <v>46051</v>
      </c>
      <c r="C113">
        <v>29</v>
      </c>
      <c r="D113">
        <v>1</v>
      </c>
      <c r="E113">
        <v>2026</v>
      </c>
      <c r="F113" t="s">
        <v>23</v>
      </c>
      <c r="G113" t="s">
        <v>24</v>
      </c>
      <c r="H113" t="s">
        <v>25</v>
      </c>
      <c r="I113" t="s">
        <v>158</v>
      </c>
      <c r="J113" t="s">
        <v>159</v>
      </c>
      <c r="K113" t="s">
        <v>28</v>
      </c>
      <c r="L113" t="s">
        <v>29</v>
      </c>
      <c r="M113" t="s">
        <v>30</v>
      </c>
      <c r="N113" t="s">
        <v>31</v>
      </c>
      <c r="O113" t="s">
        <v>160</v>
      </c>
      <c r="P113" t="s">
        <v>161</v>
      </c>
      <c r="Q113" t="s">
        <v>162</v>
      </c>
      <c r="R113" t="s">
        <v>457</v>
      </c>
      <c r="S113" t="s">
        <v>63</v>
      </c>
      <c r="T113" t="s">
        <v>164</v>
      </c>
      <c r="U113" t="s">
        <v>458</v>
      </c>
      <c r="V113" t="s">
        <v>459</v>
      </c>
      <c r="W113">
        <v>0</v>
      </c>
    </row>
    <row r="114" spans="1:23" x14ac:dyDescent="0.3">
      <c r="A114">
        <v>50032144</v>
      </c>
      <c r="B114" s="1">
        <v>46068</v>
      </c>
      <c r="C114">
        <v>15</v>
      </c>
      <c r="D114">
        <v>2</v>
      </c>
      <c r="E114">
        <v>2026</v>
      </c>
      <c r="F114" t="s">
        <v>23</v>
      </c>
      <c r="G114" t="s">
        <v>24</v>
      </c>
      <c r="H114" t="s">
        <v>25</v>
      </c>
      <c r="I114" t="s">
        <v>322</v>
      </c>
      <c r="J114" t="s">
        <v>323</v>
      </c>
      <c r="K114" t="s">
        <v>28</v>
      </c>
      <c r="L114" t="s">
        <v>29</v>
      </c>
      <c r="M114" t="s">
        <v>271</v>
      </c>
      <c r="N114" t="s">
        <v>272</v>
      </c>
      <c r="O114" t="s">
        <v>324</v>
      </c>
      <c r="P114" t="s">
        <v>325</v>
      </c>
      <c r="Q114" t="s">
        <v>326</v>
      </c>
      <c r="R114" t="s">
        <v>460</v>
      </c>
      <c r="S114" t="s">
        <v>63</v>
      </c>
      <c r="T114" t="s">
        <v>164</v>
      </c>
      <c r="U114" t="s">
        <v>200</v>
      </c>
      <c r="V114" t="s">
        <v>201</v>
      </c>
      <c r="W114">
        <v>0</v>
      </c>
    </row>
    <row r="115" spans="1:23" x14ac:dyDescent="0.3">
      <c r="A115">
        <v>50023642</v>
      </c>
      <c r="B115" s="1">
        <v>46067</v>
      </c>
      <c r="C115">
        <v>14</v>
      </c>
      <c r="D115">
        <v>2</v>
      </c>
      <c r="E115">
        <v>2026</v>
      </c>
      <c r="F115" t="s">
        <v>51</v>
      </c>
      <c r="G115" t="s">
        <v>52</v>
      </c>
      <c r="H115" t="s">
        <v>53</v>
      </c>
      <c r="I115" t="s">
        <v>206</v>
      </c>
      <c r="J115" t="s">
        <v>207</v>
      </c>
      <c r="K115" t="s">
        <v>28</v>
      </c>
      <c r="L115" t="s">
        <v>56</v>
      </c>
      <c r="M115" t="s">
        <v>57</v>
      </c>
      <c r="N115" t="s">
        <v>58</v>
      </c>
      <c r="O115" t="s">
        <v>59</v>
      </c>
      <c r="P115" t="s">
        <v>60</v>
      </c>
      <c r="Q115" t="s">
        <v>208</v>
      </c>
      <c r="R115" t="s">
        <v>209</v>
      </c>
      <c r="S115" t="s">
        <v>47</v>
      </c>
      <c r="T115" t="s">
        <v>210</v>
      </c>
      <c r="U115" t="s">
        <v>211</v>
      </c>
      <c r="V115" t="s">
        <v>212</v>
      </c>
      <c r="W115">
        <v>5</v>
      </c>
    </row>
    <row r="116" spans="1:23" x14ac:dyDescent="0.3">
      <c r="A116">
        <v>49620073</v>
      </c>
      <c r="B116" s="1">
        <v>46059</v>
      </c>
      <c r="C116">
        <v>6</v>
      </c>
      <c r="D116">
        <v>2</v>
      </c>
      <c r="E116">
        <v>2026</v>
      </c>
      <c r="F116" t="s">
        <v>23</v>
      </c>
      <c r="G116" t="s">
        <v>24</v>
      </c>
      <c r="H116" t="s">
        <v>25</v>
      </c>
      <c r="I116" t="s">
        <v>150</v>
      </c>
      <c r="J116" t="s">
        <v>151</v>
      </c>
      <c r="K116" t="s">
        <v>28</v>
      </c>
      <c r="L116" t="s">
        <v>29</v>
      </c>
      <c r="M116" t="s">
        <v>30</v>
      </c>
      <c r="N116" t="s">
        <v>31</v>
      </c>
      <c r="O116" t="s">
        <v>32</v>
      </c>
      <c r="P116" t="s">
        <v>125</v>
      </c>
      <c r="Q116" t="s">
        <v>152</v>
      </c>
      <c r="R116" t="s">
        <v>461</v>
      </c>
      <c r="S116" t="s">
        <v>47</v>
      </c>
      <c r="T116" t="s">
        <v>113</v>
      </c>
      <c r="U116" t="s">
        <v>255</v>
      </c>
      <c r="V116" t="s">
        <v>256</v>
      </c>
      <c r="W116">
        <v>0</v>
      </c>
    </row>
    <row r="117" spans="1:23" x14ac:dyDescent="0.3">
      <c r="A117">
        <v>48667258</v>
      </c>
      <c r="B117" s="1">
        <v>46036</v>
      </c>
      <c r="C117">
        <v>14</v>
      </c>
      <c r="D117">
        <v>1</v>
      </c>
      <c r="E117">
        <v>2026</v>
      </c>
      <c r="F117" t="s">
        <v>23</v>
      </c>
      <c r="G117" t="s">
        <v>24</v>
      </c>
      <c r="H117" t="s">
        <v>25</v>
      </c>
      <c r="I117" t="s">
        <v>144</v>
      </c>
      <c r="J117" t="s">
        <v>145</v>
      </c>
      <c r="K117" t="s">
        <v>28</v>
      </c>
      <c r="L117" t="s">
        <v>29</v>
      </c>
      <c r="M117" t="s">
        <v>30</v>
      </c>
      <c r="N117" t="s">
        <v>31</v>
      </c>
      <c r="O117" t="s">
        <v>32</v>
      </c>
      <c r="P117" t="s">
        <v>33</v>
      </c>
      <c r="Q117" t="s">
        <v>146</v>
      </c>
      <c r="R117" t="s">
        <v>462</v>
      </c>
      <c r="S117" t="s">
        <v>36</v>
      </c>
      <c r="T117" t="s">
        <v>37</v>
      </c>
      <c r="U117" t="s">
        <v>249</v>
      </c>
      <c r="V117" t="s">
        <v>250</v>
      </c>
      <c r="W117">
        <v>9</v>
      </c>
    </row>
    <row r="118" spans="1:23" x14ac:dyDescent="0.3">
      <c r="A118">
        <v>49724558</v>
      </c>
      <c r="B118" s="1">
        <v>46062</v>
      </c>
      <c r="C118">
        <v>9</v>
      </c>
      <c r="D118">
        <v>2</v>
      </c>
      <c r="E118">
        <v>2026</v>
      </c>
      <c r="F118" t="s">
        <v>23</v>
      </c>
      <c r="G118" t="s">
        <v>24</v>
      </c>
      <c r="H118" t="s">
        <v>25</v>
      </c>
      <c r="I118" t="s">
        <v>420</v>
      </c>
      <c r="J118" t="s">
        <v>421</v>
      </c>
      <c r="K118" t="s">
        <v>28</v>
      </c>
      <c r="L118" t="s">
        <v>29</v>
      </c>
      <c r="M118" t="s">
        <v>30</v>
      </c>
      <c r="N118" t="s">
        <v>42</v>
      </c>
      <c r="O118" t="s">
        <v>43</v>
      </c>
      <c r="P118" t="s">
        <v>44</v>
      </c>
      <c r="Q118" t="s">
        <v>391</v>
      </c>
      <c r="R118" t="s">
        <v>141</v>
      </c>
      <c r="S118" t="s">
        <v>47</v>
      </c>
      <c r="T118" t="s">
        <v>48</v>
      </c>
      <c r="U118" t="s">
        <v>142</v>
      </c>
      <c r="V118" t="s">
        <v>143</v>
      </c>
      <c r="W118">
        <v>6</v>
      </c>
    </row>
    <row r="119" spans="1:23" x14ac:dyDescent="0.3">
      <c r="A119">
        <v>48646424</v>
      </c>
      <c r="B119" s="1">
        <v>46035</v>
      </c>
      <c r="C119">
        <v>13</v>
      </c>
      <c r="D119">
        <v>1</v>
      </c>
      <c r="E119">
        <v>2026</v>
      </c>
      <c r="F119" t="s">
        <v>23</v>
      </c>
      <c r="G119" t="s">
        <v>24</v>
      </c>
      <c r="H119" t="s">
        <v>25</v>
      </c>
      <c r="I119" t="s">
        <v>251</v>
      </c>
      <c r="J119" t="s">
        <v>252</v>
      </c>
      <c r="K119" t="s">
        <v>28</v>
      </c>
      <c r="L119" t="s">
        <v>29</v>
      </c>
      <c r="M119" t="s">
        <v>30</v>
      </c>
      <c r="N119" t="s">
        <v>31</v>
      </c>
      <c r="O119" t="s">
        <v>32</v>
      </c>
      <c r="P119" t="s">
        <v>125</v>
      </c>
      <c r="Q119" t="s">
        <v>253</v>
      </c>
      <c r="R119" t="s">
        <v>463</v>
      </c>
      <c r="S119" t="s">
        <v>47</v>
      </c>
      <c r="T119" t="s">
        <v>113</v>
      </c>
      <c r="U119" t="s">
        <v>464</v>
      </c>
      <c r="V119" t="s">
        <v>465</v>
      </c>
      <c r="W119">
        <v>5</v>
      </c>
    </row>
    <row r="120" spans="1:23" x14ac:dyDescent="0.3">
      <c r="A120">
        <v>49303870</v>
      </c>
      <c r="B120" s="1">
        <v>46054</v>
      </c>
      <c r="C120">
        <v>1</v>
      </c>
      <c r="D120">
        <v>2</v>
      </c>
      <c r="E120">
        <v>2026</v>
      </c>
      <c r="F120" t="s">
        <v>23</v>
      </c>
      <c r="G120" t="s">
        <v>24</v>
      </c>
      <c r="H120" t="s">
        <v>25</v>
      </c>
      <c r="I120" t="s">
        <v>40</v>
      </c>
      <c r="J120" t="s">
        <v>41</v>
      </c>
      <c r="K120" t="s">
        <v>28</v>
      </c>
      <c r="L120" t="s">
        <v>29</v>
      </c>
      <c r="M120" t="s">
        <v>30</v>
      </c>
      <c r="N120" t="s">
        <v>42</v>
      </c>
      <c r="O120" t="s">
        <v>43</v>
      </c>
      <c r="P120" t="s">
        <v>44</v>
      </c>
      <c r="Q120" t="s">
        <v>45</v>
      </c>
      <c r="R120" t="s">
        <v>466</v>
      </c>
      <c r="S120" t="s">
        <v>63</v>
      </c>
      <c r="T120" t="s">
        <v>154</v>
      </c>
      <c r="U120" t="s">
        <v>155</v>
      </c>
      <c r="V120" t="s">
        <v>156</v>
      </c>
      <c r="W120">
        <v>1</v>
      </c>
    </row>
    <row r="121" spans="1:23" x14ac:dyDescent="0.3">
      <c r="A121">
        <v>49962498</v>
      </c>
      <c r="B121" s="1">
        <v>46065</v>
      </c>
      <c r="C121">
        <v>12</v>
      </c>
      <c r="D121">
        <v>2</v>
      </c>
      <c r="E121">
        <v>2026</v>
      </c>
      <c r="F121" t="s">
        <v>351</v>
      </c>
      <c r="G121" t="s">
        <v>352</v>
      </c>
      <c r="H121" t="s">
        <v>353</v>
      </c>
      <c r="I121" t="s">
        <v>287</v>
      </c>
      <c r="J121" t="s">
        <v>288</v>
      </c>
      <c r="K121" t="s">
        <v>28</v>
      </c>
      <c r="L121" t="s">
        <v>56</v>
      </c>
      <c r="M121" t="s">
        <v>57</v>
      </c>
      <c r="N121" t="s">
        <v>58</v>
      </c>
      <c r="O121" t="s">
        <v>289</v>
      </c>
      <c r="P121" t="s">
        <v>290</v>
      </c>
      <c r="Q121" t="s">
        <v>291</v>
      </c>
      <c r="R121" t="s">
        <v>467</v>
      </c>
      <c r="S121" t="s">
        <v>47</v>
      </c>
      <c r="T121" t="s">
        <v>468</v>
      </c>
      <c r="U121" t="s">
        <v>469</v>
      </c>
      <c r="V121" t="s">
        <v>470</v>
      </c>
      <c r="W121">
        <v>0</v>
      </c>
    </row>
    <row r="122" spans="1:23" x14ac:dyDescent="0.3">
      <c r="A122">
        <v>49724525</v>
      </c>
      <c r="B122" s="1">
        <v>46057</v>
      </c>
      <c r="C122">
        <v>4</v>
      </c>
      <c r="D122">
        <v>2</v>
      </c>
      <c r="E122">
        <v>2026</v>
      </c>
      <c r="F122" t="s">
        <v>23</v>
      </c>
      <c r="G122" t="s">
        <v>24</v>
      </c>
      <c r="H122" t="s">
        <v>25</v>
      </c>
      <c r="I122" t="s">
        <v>471</v>
      </c>
      <c r="J122" t="s">
        <v>472</v>
      </c>
      <c r="K122" t="s">
        <v>28</v>
      </c>
      <c r="L122" t="s">
        <v>29</v>
      </c>
      <c r="M122" t="s">
        <v>30</v>
      </c>
      <c r="N122" t="s">
        <v>42</v>
      </c>
      <c r="O122" t="s">
        <v>43</v>
      </c>
      <c r="P122" t="s">
        <v>44</v>
      </c>
      <c r="Q122" t="s">
        <v>391</v>
      </c>
      <c r="R122" t="s">
        <v>411</v>
      </c>
      <c r="S122" t="s">
        <v>36</v>
      </c>
      <c r="T122" t="s">
        <v>37</v>
      </c>
      <c r="U122" t="s">
        <v>38</v>
      </c>
      <c r="V122" t="s">
        <v>39</v>
      </c>
      <c r="W122">
        <v>8</v>
      </c>
    </row>
    <row r="123" spans="1:23" x14ac:dyDescent="0.3">
      <c r="A123">
        <v>49381977</v>
      </c>
      <c r="B123" s="1">
        <v>46055</v>
      </c>
      <c r="C123">
        <v>2</v>
      </c>
      <c r="D123">
        <v>2</v>
      </c>
      <c r="E123">
        <v>2026</v>
      </c>
      <c r="F123" t="s">
        <v>23</v>
      </c>
      <c r="G123" t="s">
        <v>24</v>
      </c>
      <c r="H123" t="s">
        <v>25</v>
      </c>
      <c r="I123" t="s">
        <v>150</v>
      </c>
      <c r="J123" t="s">
        <v>151</v>
      </c>
      <c r="K123" t="s">
        <v>28</v>
      </c>
      <c r="L123" t="s">
        <v>29</v>
      </c>
      <c r="M123" t="s">
        <v>30</v>
      </c>
      <c r="N123" t="s">
        <v>31</v>
      </c>
      <c r="O123" t="s">
        <v>32</v>
      </c>
      <c r="P123" t="s">
        <v>125</v>
      </c>
      <c r="Q123" t="s">
        <v>152</v>
      </c>
      <c r="R123" t="s">
        <v>473</v>
      </c>
      <c r="S123" t="s">
        <v>47</v>
      </c>
      <c r="T123" t="s">
        <v>101</v>
      </c>
      <c r="U123" t="s">
        <v>102</v>
      </c>
      <c r="V123" t="s">
        <v>103</v>
      </c>
      <c r="W123">
        <v>9</v>
      </c>
    </row>
    <row r="124" spans="1:23" x14ac:dyDescent="0.3">
      <c r="A124">
        <v>49888483</v>
      </c>
      <c r="B124" s="1">
        <v>46064</v>
      </c>
      <c r="C124">
        <v>11</v>
      </c>
      <c r="D124">
        <v>2</v>
      </c>
      <c r="E124">
        <v>2026</v>
      </c>
      <c r="F124" t="s">
        <v>23</v>
      </c>
      <c r="G124" t="s">
        <v>24</v>
      </c>
      <c r="H124" t="s">
        <v>25</v>
      </c>
      <c r="I124" t="s">
        <v>251</v>
      </c>
      <c r="J124" t="s">
        <v>252</v>
      </c>
      <c r="K124" t="s">
        <v>28</v>
      </c>
      <c r="L124" t="s">
        <v>29</v>
      </c>
      <c r="M124" t="s">
        <v>30</v>
      </c>
      <c r="N124" t="s">
        <v>31</v>
      </c>
      <c r="O124" t="s">
        <v>32</v>
      </c>
      <c r="P124" t="s">
        <v>125</v>
      </c>
      <c r="Q124" t="s">
        <v>253</v>
      </c>
      <c r="R124" t="s">
        <v>474</v>
      </c>
      <c r="S124" t="s">
        <v>47</v>
      </c>
      <c r="T124" t="s">
        <v>113</v>
      </c>
      <c r="U124" t="s">
        <v>475</v>
      </c>
      <c r="V124" t="s">
        <v>476</v>
      </c>
      <c r="W124">
        <v>0</v>
      </c>
    </row>
    <row r="125" spans="1:23" x14ac:dyDescent="0.3">
      <c r="A125">
        <v>49298812</v>
      </c>
      <c r="B125" s="1">
        <v>46053</v>
      </c>
      <c r="C125">
        <v>31</v>
      </c>
      <c r="D125">
        <v>1</v>
      </c>
      <c r="E125">
        <v>2026</v>
      </c>
      <c r="F125" t="s">
        <v>23</v>
      </c>
      <c r="G125" t="s">
        <v>24</v>
      </c>
      <c r="H125" t="s">
        <v>25</v>
      </c>
      <c r="I125" t="s">
        <v>477</v>
      </c>
      <c r="J125" t="s">
        <v>478</v>
      </c>
      <c r="K125" t="s">
        <v>28</v>
      </c>
      <c r="L125" t="s">
        <v>29</v>
      </c>
      <c r="M125" t="s">
        <v>30</v>
      </c>
      <c r="N125" t="s">
        <v>31</v>
      </c>
      <c r="O125" t="s">
        <v>32</v>
      </c>
      <c r="P125" t="s">
        <v>33</v>
      </c>
      <c r="Q125" t="s">
        <v>479</v>
      </c>
      <c r="R125" t="s">
        <v>480</v>
      </c>
      <c r="S125" t="s">
        <v>36</v>
      </c>
      <c r="T125" t="s">
        <v>179</v>
      </c>
      <c r="U125" t="s">
        <v>180</v>
      </c>
      <c r="V125" t="s">
        <v>181</v>
      </c>
      <c r="W125">
        <v>5</v>
      </c>
    </row>
    <row r="126" spans="1:23" x14ac:dyDescent="0.3">
      <c r="A126">
        <v>49298811</v>
      </c>
      <c r="B126" s="1">
        <v>46053</v>
      </c>
      <c r="C126">
        <v>31</v>
      </c>
      <c r="D126">
        <v>1</v>
      </c>
      <c r="E126">
        <v>2026</v>
      </c>
      <c r="F126" t="s">
        <v>23</v>
      </c>
      <c r="G126" t="s">
        <v>24</v>
      </c>
      <c r="H126" t="s">
        <v>25</v>
      </c>
      <c r="I126" t="s">
        <v>116</v>
      </c>
      <c r="J126" t="s">
        <v>117</v>
      </c>
      <c r="K126" t="s">
        <v>28</v>
      </c>
      <c r="L126" t="s">
        <v>29</v>
      </c>
      <c r="M126" t="s">
        <v>30</v>
      </c>
      <c r="N126" t="s">
        <v>31</v>
      </c>
      <c r="O126" t="s">
        <v>32</v>
      </c>
      <c r="P126" t="s">
        <v>33</v>
      </c>
      <c r="Q126" t="s">
        <v>118</v>
      </c>
      <c r="R126" t="s">
        <v>481</v>
      </c>
      <c r="S126" t="s">
        <v>36</v>
      </c>
      <c r="T126" t="s">
        <v>179</v>
      </c>
      <c r="U126" t="s">
        <v>180</v>
      </c>
      <c r="V126" t="s">
        <v>181</v>
      </c>
      <c r="W126">
        <v>2</v>
      </c>
    </row>
    <row r="127" spans="1:23" x14ac:dyDescent="0.3">
      <c r="A127">
        <v>48675299</v>
      </c>
      <c r="B127" s="1">
        <v>46038</v>
      </c>
      <c r="C127">
        <v>16</v>
      </c>
      <c r="D127">
        <v>1</v>
      </c>
      <c r="E127">
        <v>2026</v>
      </c>
      <c r="F127" t="s">
        <v>23</v>
      </c>
      <c r="G127" t="s">
        <v>24</v>
      </c>
      <c r="H127" t="s">
        <v>25</v>
      </c>
      <c r="I127" t="s">
        <v>251</v>
      </c>
      <c r="J127" t="s">
        <v>252</v>
      </c>
      <c r="K127" t="s">
        <v>28</v>
      </c>
      <c r="L127" t="s">
        <v>29</v>
      </c>
      <c r="M127" t="s">
        <v>30</v>
      </c>
      <c r="N127" t="s">
        <v>31</v>
      </c>
      <c r="O127" t="s">
        <v>32</v>
      </c>
      <c r="P127" t="s">
        <v>125</v>
      </c>
      <c r="Q127" t="s">
        <v>253</v>
      </c>
      <c r="R127" t="s">
        <v>378</v>
      </c>
      <c r="S127" t="s">
        <v>47</v>
      </c>
      <c r="T127" t="s">
        <v>113</v>
      </c>
      <c r="U127" t="s">
        <v>379</v>
      </c>
      <c r="V127" t="s">
        <v>380</v>
      </c>
      <c r="W127">
        <v>5</v>
      </c>
    </row>
    <row r="128" spans="1:23" x14ac:dyDescent="0.3">
      <c r="A128">
        <v>49648315</v>
      </c>
      <c r="B128" s="1">
        <v>46060</v>
      </c>
      <c r="C128">
        <v>7</v>
      </c>
      <c r="D128">
        <v>2</v>
      </c>
      <c r="E128">
        <v>2026</v>
      </c>
      <c r="F128" t="s">
        <v>23</v>
      </c>
      <c r="G128" t="s">
        <v>24</v>
      </c>
      <c r="H128" t="s">
        <v>25</v>
      </c>
      <c r="I128" t="s">
        <v>158</v>
      </c>
      <c r="J128" t="s">
        <v>159</v>
      </c>
      <c r="K128" t="s">
        <v>28</v>
      </c>
      <c r="L128" t="s">
        <v>29</v>
      </c>
      <c r="M128" t="s">
        <v>30</v>
      </c>
      <c r="N128" t="s">
        <v>31</v>
      </c>
      <c r="O128" t="s">
        <v>160</v>
      </c>
      <c r="P128" t="s">
        <v>161</v>
      </c>
      <c r="Q128" t="s">
        <v>162</v>
      </c>
      <c r="R128" t="s">
        <v>482</v>
      </c>
      <c r="S128" t="s">
        <v>63</v>
      </c>
      <c r="T128" t="s">
        <v>164</v>
      </c>
      <c r="U128" t="s">
        <v>483</v>
      </c>
      <c r="V128" t="s">
        <v>484</v>
      </c>
      <c r="W128">
        <v>4</v>
      </c>
    </row>
    <row r="129" spans="1:23" x14ac:dyDescent="0.3">
      <c r="A129">
        <v>48903695</v>
      </c>
      <c r="B129" s="1">
        <v>46048</v>
      </c>
      <c r="C129">
        <v>26</v>
      </c>
      <c r="D129">
        <v>1</v>
      </c>
      <c r="E129">
        <v>2026</v>
      </c>
      <c r="F129" t="s">
        <v>23</v>
      </c>
      <c r="G129" t="s">
        <v>24</v>
      </c>
      <c r="H129" t="s">
        <v>25</v>
      </c>
      <c r="I129" t="s">
        <v>485</v>
      </c>
      <c r="J129" t="s">
        <v>486</v>
      </c>
      <c r="K129" t="s">
        <v>28</v>
      </c>
      <c r="L129" t="s">
        <v>29</v>
      </c>
      <c r="M129" t="s">
        <v>30</v>
      </c>
      <c r="N129" t="s">
        <v>31</v>
      </c>
      <c r="O129" t="s">
        <v>32</v>
      </c>
      <c r="P129" t="s">
        <v>125</v>
      </c>
      <c r="Q129" t="s">
        <v>487</v>
      </c>
      <c r="R129" t="s">
        <v>488</v>
      </c>
      <c r="S129" t="s">
        <v>47</v>
      </c>
      <c r="T129" t="s">
        <v>113</v>
      </c>
      <c r="U129" t="s">
        <v>475</v>
      </c>
      <c r="V129" t="s">
        <v>489</v>
      </c>
      <c r="W129">
        <v>6</v>
      </c>
    </row>
    <row r="130" spans="1:23" x14ac:dyDescent="0.3">
      <c r="A130">
        <v>48748041</v>
      </c>
      <c r="B130" s="1">
        <v>46045</v>
      </c>
      <c r="C130">
        <v>23</v>
      </c>
      <c r="D130">
        <v>1</v>
      </c>
      <c r="E130">
        <v>2026</v>
      </c>
      <c r="F130" t="s">
        <v>51</v>
      </c>
      <c r="G130" t="s">
        <v>52</v>
      </c>
      <c r="H130" t="s">
        <v>53</v>
      </c>
      <c r="I130" t="s">
        <v>213</v>
      </c>
      <c r="J130" t="s">
        <v>214</v>
      </c>
      <c r="K130" t="s">
        <v>28</v>
      </c>
      <c r="L130" t="s">
        <v>56</v>
      </c>
      <c r="M130" t="s">
        <v>57</v>
      </c>
      <c r="N130" t="s">
        <v>58</v>
      </c>
      <c r="O130" t="s">
        <v>59</v>
      </c>
      <c r="P130" t="s">
        <v>60</v>
      </c>
      <c r="Q130" t="s">
        <v>215</v>
      </c>
      <c r="R130" t="s">
        <v>240</v>
      </c>
      <c r="S130" t="s">
        <v>47</v>
      </c>
      <c r="T130" t="s">
        <v>241</v>
      </c>
      <c r="U130" t="s">
        <v>242</v>
      </c>
      <c r="V130" t="s">
        <v>243</v>
      </c>
      <c r="W130">
        <v>9</v>
      </c>
    </row>
    <row r="131" spans="1:23" x14ac:dyDescent="0.3">
      <c r="A131">
        <v>48746940</v>
      </c>
      <c r="B131" s="1">
        <v>46044</v>
      </c>
      <c r="C131">
        <v>22</v>
      </c>
      <c r="D131">
        <v>1</v>
      </c>
      <c r="E131">
        <v>2026</v>
      </c>
      <c r="F131" t="s">
        <v>490</v>
      </c>
      <c r="G131" t="s">
        <v>83</v>
      </c>
      <c r="H131" t="s">
        <v>84</v>
      </c>
      <c r="I131" t="s">
        <v>491</v>
      </c>
      <c r="J131" t="s">
        <v>492</v>
      </c>
      <c r="K131" t="s">
        <v>28</v>
      </c>
      <c r="L131" t="s">
        <v>56</v>
      </c>
      <c r="M131" t="s">
        <v>87</v>
      </c>
      <c r="N131" t="s">
        <v>88</v>
      </c>
      <c r="O131" t="s">
        <v>493</v>
      </c>
      <c r="P131" t="s">
        <v>494</v>
      </c>
      <c r="Q131" t="s">
        <v>495</v>
      </c>
      <c r="R131" t="s">
        <v>496</v>
      </c>
      <c r="S131" t="s">
        <v>47</v>
      </c>
      <c r="T131" t="s">
        <v>48</v>
      </c>
      <c r="U131" t="s">
        <v>49</v>
      </c>
      <c r="V131" t="s">
        <v>50</v>
      </c>
      <c r="W131">
        <v>0</v>
      </c>
    </row>
    <row r="132" spans="1:23" x14ac:dyDescent="0.3">
      <c r="A132">
        <v>50326223</v>
      </c>
      <c r="B132" s="1">
        <v>46075</v>
      </c>
      <c r="C132">
        <v>22</v>
      </c>
      <c r="D132">
        <v>2</v>
      </c>
      <c r="E132">
        <v>2026</v>
      </c>
      <c r="F132" t="s">
        <v>51</v>
      </c>
      <c r="G132" t="s">
        <v>52</v>
      </c>
      <c r="H132" t="s">
        <v>53</v>
      </c>
      <c r="I132" t="s">
        <v>213</v>
      </c>
      <c r="J132" t="s">
        <v>214</v>
      </c>
      <c r="K132" t="s">
        <v>28</v>
      </c>
      <c r="L132" t="s">
        <v>56</v>
      </c>
      <c r="M132" t="s">
        <v>57</v>
      </c>
      <c r="N132" t="s">
        <v>58</v>
      </c>
      <c r="O132" t="s">
        <v>59</v>
      </c>
      <c r="P132" t="s">
        <v>60</v>
      </c>
      <c r="Q132" t="s">
        <v>215</v>
      </c>
      <c r="R132" t="s">
        <v>497</v>
      </c>
      <c r="S132" t="s">
        <v>36</v>
      </c>
      <c r="T132" t="s">
        <v>37</v>
      </c>
      <c r="U132" t="s">
        <v>498</v>
      </c>
      <c r="V132" t="s">
        <v>499</v>
      </c>
      <c r="W132">
        <v>2</v>
      </c>
    </row>
    <row r="133" spans="1:23" x14ac:dyDescent="0.3">
      <c r="A133">
        <v>50356991</v>
      </c>
      <c r="B133" s="1">
        <v>46077</v>
      </c>
      <c r="C133">
        <v>24</v>
      </c>
      <c r="D133">
        <v>2</v>
      </c>
      <c r="E133">
        <v>2026</v>
      </c>
      <c r="F133" t="s">
        <v>500</v>
      </c>
      <c r="G133" t="s">
        <v>501</v>
      </c>
      <c r="H133" t="s">
        <v>502</v>
      </c>
      <c r="I133" t="s">
        <v>503</v>
      </c>
      <c r="J133" t="s">
        <v>504</v>
      </c>
      <c r="K133" t="s">
        <v>28</v>
      </c>
      <c r="L133" t="s">
        <v>56</v>
      </c>
      <c r="M133" t="s">
        <v>57</v>
      </c>
      <c r="N133" t="s">
        <v>58</v>
      </c>
      <c r="O133" t="s">
        <v>289</v>
      </c>
      <c r="P133" t="s">
        <v>505</v>
      </c>
      <c r="Q133" t="s">
        <v>506</v>
      </c>
      <c r="R133" t="s">
        <v>507</v>
      </c>
      <c r="S133" t="s">
        <v>47</v>
      </c>
      <c r="T133" t="s">
        <v>508</v>
      </c>
      <c r="U133" t="s">
        <v>509</v>
      </c>
      <c r="V133" t="s">
        <v>510</v>
      </c>
      <c r="W133">
        <v>5</v>
      </c>
    </row>
    <row r="134" spans="1:23" x14ac:dyDescent="0.3">
      <c r="A134">
        <v>48681730</v>
      </c>
      <c r="B134" s="1">
        <v>46039</v>
      </c>
      <c r="C134">
        <v>17</v>
      </c>
      <c r="D134">
        <v>1</v>
      </c>
      <c r="E134">
        <v>2026</v>
      </c>
      <c r="F134" t="s">
        <v>23</v>
      </c>
      <c r="G134" t="s">
        <v>24</v>
      </c>
      <c r="H134" t="s">
        <v>25</v>
      </c>
      <c r="I134" t="s">
        <v>150</v>
      </c>
      <c r="J134" t="s">
        <v>151</v>
      </c>
      <c r="K134" t="s">
        <v>28</v>
      </c>
      <c r="L134" t="s">
        <v>29</v>
      </c>
      <c r="M134" t="s">
        <v>30</v>
      </c>
      <c r="N134" t="s">
        <v>31</v>
      </c>
      <c r="O134" t="s">
        <v>32</v>
      </c>
      <c r="P134" t="s">
        <v>125</v>
      </c>
      <c r="Q134" t="s">
        <v>152</v>
      </c>
      <c r="R134" t="s">
        <v>511</v>
      </c>
      <c r="S134" t="s">
        <v>47</v>
      </c>
      <c r="T134" t="s">
        <v>48</v>
      </c>
      <c r="U134" t="s">
        <v>338</v>
      </c>
      <c r="V134" t="s">
        <v>339</v>
      </c>
      <c r="W134">
        <v>7</v>
      </c>
    </row>
    <row r="135" spans="1:23" x14ac:dyDescent="0.3">
      <c r="A135">
        <v>49305141</v>
      </c>
      <c r="B135" s="1">
        <v>46053</v>
      </c>
      <c r="C135">
        <v>31</v>
      </c>
      <c r="D135">
        <v>1</v>
      </c>
      <c r="E135">
        <v>2026</v>
      </c>
      <c r="F135" t="s">
        <v>23</v>
      </c>
      <c r="G135" t="s">
        <v>24</v>
      </c>
      <c r="H135" t="s">
        <v>25</v>
      </c>
      <c r="I135" t="s">
        <v>172</v>
      </c>
      <c r="J135" t="s">
        <v>173</v>
      </c>
      <c r="K135" t="s">
        <v>28</v>
      </c>
      <c r="L135" t="s">
        <v>29</v>
      </c>
      <c r="M135" t="s">
        <v>30</v>
      </c>
      <c r="N135" t="s">
        <v>174</v>
      </c>
      <c r="O135" t="s">
        <v>175</v>
      </c>
      <c r="P135" t="s">
        <v>176</v>
      </c>
      <c r="Q135" t="s">
        <v>177</v>
      </c>
      <c r="R135" t="s">
        <v>512</v>
      </c>
      <c r="S135" t="s">
        <v>47</v>
      </c>
      <c r="T135" t="s">
        <v>120</v>
      </c>
      <c r="U135" t="s">
        <v>233</v>
      </c>
      <c r="V135" t="s">
        <v>234</v>
      </c>
      <c r="W135">
        <v>9</v>
      </c>
    </row>
    <row r="136" spans="1:23" x14ac:dyDescent="0.3">
      <c r="A136">
        <v>49410292</v>
      </c>
      <c r="B136" s="1">
        <v>46056</v>
      </c>
      <c r="C136">
        <v>3</v>
      </c>
      <c r="D136">
        <v>2</v>
      </c>
      <c r="E136">
        <v>2026</v>
      </c>
      <c r="F136" t="s">
        <v>23</v>
      </c>
      <c r="G136" t="s">
        <v>24</v>
      </c>
      <c r="H136" t="s">
        <v>25</v>
      </c>
      <c r="I136" t="s">
        <v>281</v>
      </c>
      <c r="J136" t="s">
        <v>282</v>
      </c>
      <c r="K136" t="s">
        <v>28</v>
      </c>
      <c r="L136" t="s">
        <v>29</v>
      </c>
      <c r="M136" t="s">
        <v>30</v>
      </c>
      <c r="N136" t="s">
        <v>31</v>
      </c>
      <c r="O136" t="s">
        <v>32</v>
      </c>
      <c r="P136" t="s">
        <v>283</v>
      </c>
      <c r="Q136" t="s">
        <v>284</v>
      </c>
      <c r="R136" t="s">
        <v>513</v>
      </c>
      <c r="S136" t="s">
        <v>47</v>
      </c>
      <c r="T136" t="s">
        <v>79</v>
      </c>
      <c r="U136" t="s">
        <v>80</v>
      </c>
      <c r="V136" t="s">
        <v>81</v>
      </c>
      <c r="W136">
        <v>3</v>
      </c>
    </row>
    <row r="137" spans="1:23" x14ac:dyDescent="0.3">
      <c r="A137">
        <v>49724510</v>
      </c>
      <c r="B137" s="1">
        <v>46056</v>
      </c>
      <c r="C137">
        <v>3</v>
      </c>
      <c r="D137">
        <v>2</v>
      </c>
      <c r="E137">
        <v>2026</v>
      </c>
      <c r="F137" t="s">
        <v>23</v>
      </c>
      <c r="G137" t="s">
        <v>24</v>
      </c>
      <c r="H137" t="s">
        <v>25</v>
      </c>
      <c r="I137" t="s">
        <v>514</v>
      </c>
      <c r="J137" t="s">
        <v>515</v>
      </c>
      <c r="K137" t="s">
        <v>28</v>
      </c>
      <c r="L137" t="s">
        <v>29</v>
      </c>
      <c r="M137" t="s">
        <v>30</v>
      </c>
      <c r="N137" t="s">
        <v>31</v>
      </c>
      <c r="O137" t="s">
        <v>132</v>
      </c>
      <c r="P137" t="s">
        <v>133</v>
      </c>
      <c r="Q137" t="s">
        <v>516</v>
      </c>
      <c r="R137" t="s">
        <v>517</v>
      </c>
      <c r="S137" t="s">
        <v>47</v>
      </c>
      <c r="T137" t="s">
        <v>79</v>
      </c>
      <c r="U137" t="s">
        <v>80</v>
      </c>
      <c r="V137" t="s">
        <v>81</v>
      </c>
      <c r="W137">
        <v>2</v>
      </c>
    </row>
    <row r="138" spans="1:23" x14ac:dyDescent="0.3">
      <c r="A138">
        <v>49513092</v>
      </c>
      <c r="B138" s="1">
        <v>46057</v>
      </c>
      <c r="C138">
        <v>4</v>
      </c>
      <c r="D138">
        <v>2</v>
      </c>
      <c r="E138">
        <v>2026</v>
      </c>
      <c r="F138" t="s">
        <v>23</v>
      </c>
      <c r="G138" t="s">
        <v>24</v>
      </c>
      <c r="H138" t="s">
        <v>25</v>
      </c>
      <c r="I138" t="s">
        <v>518</v>
      </c>
      <c r="J138" t="s">
        <v>519</v>
      </c>
      <c r="K138" t="s">
        <v>28</v>
      </c>
      <c r="L138" t="s">
        <v>29</v>
      </c>
      <c r="M138" t="s">
        <v>271</v>
      </c>
      <c r="N138" t="s">
        <v>520</v>
      </c>
      <c r="O138" t="s">
        <v>521</v>
      </c>
      <c r="P138" t="s">
        <v>522</v>
      </c>
      <c r="Q138" t="s">
        <v>523</v>
      </c>
      <c r="R138" t="s">
        <v>524</v>
      </c>
      <c r="S138" t="s">
        <v>63</v>
      </c>
      <c r="T138" t="s">
        <v>164</v>
      </c>
      <c r="U138" t="s">
        <v>197</v>
      </c>
      <c r="V138" t="s">
        <v>229</v>
      </c>
      <c r="W138">
        <v>6</v>
      </c>
    </row>
    <row r="139" spans="1:23" x14ac:dyDescent="0.3">
      <c r="A139">
        <v>49724498</v>
      </c>
      <c r="B139" s="1">
        <v>46050</v>
      </c>
      <c r="C139">
        <v>28</v>
      </c>
      <c r="D139">
        <v>1</v>
      </c>
      <c r="E139">
        <v>2026</v>
      </c>
      <c r="F139" t="s">
        <v>23</v>
      </c>
      <c r="G139" t="s">
        <v>24</v>
      </c>
      <c r="H139" t="s">
        <v>25</v>
      </c>
      <c r="I139" t="s">
        <v>281</v>
      </c>
      <c r="J139" t="s">
        <v>282</v>
      </c>
      <c r="K139" t="s">
        <v>28</v>
      </c>
      <c r="L139" t="s">
        <v>29</v>
      </c>
      <c r="M139" t="s">
        <v>30</v>
      </c>
      <c r="N139" t="s">
        <v>31</v>
      </c>
      <c r="O139" t="s">
        <v>32</v>
      </c>
      <c r="P139" t="s">
        <v>283</v>
      </c>
      <c r="Q139" t="s">
        <v>284</v>
      </c>
      <c r="R139" t="s">
        <v>525</v>
      </c>
      <c r="S139" t="s">
        <v>47</v>
      </c>
      <c r="T139" t="s">
        <v>113</v>
      </c>
      <c r="U139" t="s">
        <v>148</v>
      </c>
      <c r="V139" t="s">
        <v>149</v>
      </c>
      <c r="W139">
        <v>5</v>
      </c>
    </row>
    <row r="140" spans="1:23" x14ac:dyDescent="0.3">
      <c r="A140">
        <v>49889538</v>
      </c>
      <c r="B140" s="1">
        <v>46064</v>
      </c>
      <c r="C140">
        <v>11</v>
      </c>
      <c r="D140">
        <v>2</v>
      </c>
      <c r="E140">
        <v>2026</v>
      </c>
      <c r="F140" t="s">
        <v>23</v>
      </c>
      <c r="G140" t="s">
        <v>24</v>
      </c>
      <c r="H140" t="s">
        <v>25</v>
      </c>
      <c r="I140" t="s">
        <v>158</v>
      </c>
      <c r="J140" t="s">
        <v>159</v>
      </c>
      <c r="K140" t="s">
        <v>28</v>
      </c>
      <c r="L140" t="s">
        <v>29</v>
      </c>
      <c r="M140" t="s">
        <v>30</v>
      </c>
      <c r="N140" t="s">
        <v>31</v>
      </c>
      <c r="O140" t="s">
        <v>160</v>
      </c>
      <c r="P140" t="s">
        <v>161</v>
      </c>
      <c r="Q140" t="s">
        <v>162</v>
      </c>
      <c r="R140" t="s">
        <v>526</v>
      </c>
      <c r="S140" t="s">
        <v>63</v>
      </c>
      <c r="T140" t="s">
        <v>164</v>
      </c>
      <c r="U140" t="s">
        <v>165</v>
      </c>
      <c r="V140" t="s">
        <v>527</v>
      </c>
      <c r="W140">
        <v>8</v>
      </c>
    </row>
    <row r="141" spans="1:23" x14ac:dyDescent="0.3">
      <c r="A141">
        <v>48912824</v>
      </c>
      <c r="B141" s="1">
        <v>46048</v>
      </c>
      <c r="C141">
        <v>26</v>
      </c>
      <c r="D141">
        <v>1</v>
      </c>
      <c r="E141">
        <v>2026</v>
      </c>
      <c r="F141" t="s">
        <v>23</v>
      </c>
      <c r="G141" t="s">
        <v>24</v>
      </c>
      <c r="H141" t="s">
        <v>25</v>
      </c>
      <c r="I141" t="s">
        <v>514</v>
      </c>
      <c r="J141" t="s">
        <v>515</v>
      </c>
      <c r="K141" t="s">
        <v>28</v>
      </c>
      <c r="L141" t="s">
        <v>29</v>
      </c>
      <c r="M141" t="s">
        <v>30</v>
      </c>
      <c r="N141" t="s">
        <v>31</v>
      </c>
      <c r="O141" t="s">
        <v>132</v>
      </c>
      <c r="P141" t="s">
        <v>133</v>
      </c>
      <c r="Q141" t="s">
        <v>516</v>
      </c>
      <c r="R141" t="s">
        <v>528</v>
      </c>
      <c r="S141" t="s">
        <v>47</v>
      </c>
      <c r="T141" t="s">
        <v>113</v>
      </c>
      <c r="U141" t="s">
        <v>301</v>
      </c>
      <c r="V141" t="s">
        <v>302</v>
      </c>
      <c r="W141">
        <v>9</v>
      </c>
    </row>
    <row r="142" spans="1:23" x14ac:dyDescent="0.3">
      <c r="A142">
        <v>49250013</v>
      </c>
      <c r="B142" s="1">
        <v>46051</v>
      </c>
      <c r="C142">
        <v>29</v>
      </c>
      <c r="D142">
        <v>1</v>
      </c>
      <c r="E142">
        <v>2026</v>
      </c>
      <c r="F142" t="s">
        <v>23</v>
      </c>
      <c r="G142" t="s">
        <v>24</v>
      </c>
      <c r="H142" t="s">
        <v>25</v>
      </c>
      <c r="I142" t="s">
        <v>385</v>
      </c>
      <c r="J142" t="s">
        <v>386</v>
      </c>
      <c r="K142" t="s">
        <v>28</v>
      </c>
      <c r="L142" t="s">
        <v>29</v>
      </c>
      <c r="M142" t="s">
        <v>30</v>
      </c>
      <c r="N142" t="s">
        <v>31</v>
      </c>
      <c r="O142" t="s">
        <v>138</v>
      </c>
      <c r="P142" t="s">
        <v>348</v>
      </c>
      <c r="Q142" t="s">
        <v>387</v>
      </c>
      <c r="R142" t="s">
        <v>427</v>
      </c>
      <c r="S142" t="s">
        <v>63</v>
      </c>
      <c r="T142" t="s">
        <v>164</v>
      </c>
      <c r="U142" t="s">
        <v>197</v>
      </c>
      <c r="V142" t="s">
        <v>229</v>
      </c>
      <c r="W142">
        <v>0</v>
      </c>
    </row>
    <row r="143" spans="1:23" x14ac:dyDescent="0.3">
      <c r="A143">
        <v>48790441</v>
      </c>
      <c r="B143" s="1">
        <v>46046</v>
      </c>
      <c r="C143">
        <v>24</v>
      </c>
      <c r="D143">
        <v>1</v>
      </c>
      <c r="E143">
        <v>2026</v>
      </c>
      <c r="F143" t="s">
        <v>351</v>
      </c>
      <c r="G143" t="s">
        <v>352</v>
      </c>
      <c r="H143" t="s">
        <v>353</v>
      </c>
      <c r="I143" t="s">
        <v>529</v>
      </c>
      <c r="J143" t="s">
        <v>530</v>
      </c>
      <c r="K143" t="s">
        <v>28</v>
      </c>
      <c r="L143" t="s">
        <v>56</v>
      </c>
      <c r="M143" t="s">
        <v>57</v>
      </c>
      <c r="N143" t="s">
        <v>58</v>
      </c>
      <c r="O143" t="s">
        <v>289</v>
      </c>
      <c r="P143" t="s">
        <v>531</v>
      </c>
      <c r="Q143" t="s">
        <v>532</v>
      </c>
      <c r="R143" t="s">
        <v>533</v>
      </c>
      <c r="S143" t="s">
        <v>63</v>
      </c>
      <c r="T143" t="s">
        <v>164</v>
      </c>
      <c r="U143" t="s">
        <v>534</v>
      </c>
      <c r="V143" t="s">
        <v>535</v>
      </c>
      <c r="W143">
        <v>1</v>
      </c>
    </row>
    <row r="144" spans="1:23" x14ac:dyDescent="0.3">
      <c r="A144">
        <v>50032494</v>
      </c>
      <c r="B144" s="1">
        <v>46068</v>
      </c>
      <c r="C144">
        <v>15</v>
      </c>
      <c r="D144">
        <v>2</v>
      </c>
      <c r="E144">
        <v>2026</v>
      </c>
      <c r="F144" t="s">
        <v>23</v>
      </c>
      <c r="G144" t="s">
        <v>24</v>
      </c>
      <c r="H144" t="s">
        <v>25</v>
      </c>
      <c r="I144" t="s">
        <v>422</v>
      </c>
      <c r="J144" t="s">
        <v>423</v>
      </c>
      <c r="K144" t="s">
        <v>28</v>
      </c>
      <c r="L144" t="s">
        <v>29</v>
      </c>
      <c r="M144" t="s">
        <v>30</v>
      </c>
      <c r="N144" t="s">
        <v>31</v>
      </c>
      <c r="O144" t="s">
        <v>424</v>
      </c>
      <c r="P144" t="s">
        <v>425</v>
      </c>
      <c r="Q144" t="s">
        <v>426</v>
      </c>
      <c r="R144" t="s">
        <v>536</v>
      </c>
      <c r="S144" t="s">
        <v>63</v>
      </c>
      <c r="T144" t="s">
        <v>164</v>
      </c>
      <c r="U144" t="s">
        <v>200</v>
      </c>
      <c r="V144" t="s">
        <v>201</v>
      </c>
      <c r="W144">
        <v>0</v>
      </c>
    </row>
    <row r="145" spans="1:23" x14ac:dyDescent="0.3">
      <c r="A145">
        <v>49961957</v>
      </c>
      <c r="B145" s="1">
        <v>46065</v>
      </c>
      <c r="C145">
        <v>12</v>
      </c>
      <c r="D145">
        <v>2</v>
      </c>
      <c r="E145">
        <v>2026</v>
      </c>
      <c r="F145" t="s">
        <v>23</v>
      </c>
      <c r="G145" t="s">
        <v>24</v>
      </c>
      <c r="H145" t="s">
        <v>25</v>
      </c>
      <c r="I145" t="s">
        <v>406</v>
      </c>
      <c r="J145" t="s">
        <v>407</v>
      </c>
      <c r="K145" t="s">
        <v>28</v>
      </c>
      <c r="L145" t="s">
        <v>29</v>
      </c>
      <c r="M145" t="s">
        <v>30</v>
      </c>
      <c r="N145" t="s">
        <v>31</v>
      </c>
      <c r="O145" t="s">
        <v>32</v>
      </c>
      <c r="P145" t="s">
        <v>98</v>
      </c>
      <c r="Q145" t="s">
        <v>99</v>
      </c>
      <c r="R145" t="s">
        <v>196</v>
      </c>
      <c r="S145" t="s">
        <v>63</v>
      </c>
      <c r="T145" t="s">
        <v>164</v>
      </c>
      <c r="U145" t="s">
        <v>197</v>
      </c>
      <c r="V145" t="s">
        <v>198</v>
      </c>
      <c r="W145">
        <v>1</v>
      </c>
    </row>
    <row r="146" spans="1:23" x14ac:dyDescent="0.3">
      <c r="A146">
        <v>49961929</v>
      </c>
      <c r="B146" s="1">
        <v>46065</v>
      </c>
      <c r="C146">
        <v>12</v>
      </c>
      <c r="D146">
        <v>2</v>
      </c>
      <c r="E146">
        <v>2026</v>
      </c>
      <c r="F146" t="s">
        <v>23</v>
      </c>
      <c r="G146" t="s">
        <v>24</v>
      </c>
      <c r="H146" t="s">
        <v>25</v>
      </c>
      <c r="I146" t="s">
        <v>217</v>
      </c>
      <c r="J146" t="s">
        <v>218</v>
      </c>
      <c r="K146" t="s">
        <v>28</v>
      </c>
      <c r="L146" t="s">
        <v>29</v>
      </c>
      <c r="M146" t="s">
        <v>30</v>
      </c>
      <c r="N146" t="s">
        <v>31</v>
      </c>
      <c r="O146" t="s">
        <v>32</v>
      </c>
      <c r="P146" t="s">
        <v>125</v>
      </c>
      <c r="Q146" t="s">
        <v>219</v>
      </c>
      <c r="R146" t="s">
        <v>381</v>
      </c>
      <c r="S146" t="s">
        <v>63</v>
      </c>
      <c r="T146" t="s">
        <v>164</v>
      </c>
      <c r="U146" t="s">
        <v>197</v>
      </c>
      <c r="V146" t="s">
        <v>198</v>
      </c>
      <c r="W146">
        <v>1</v>
      </c>
    </row>
    <row r="147" spans="1:23" x14ac:dyDescent="0.3">
      <c r="A147">
        <v>50032452</v>
      </c>
      <c r="B147" s="1">
        <v>46068</v>
      </c>
      <c r="C147">
        <v>15</v>
      </c>
      <c r="D147">
        <v>2</v>
      </c>
      <c r="E147">
        <v>2026</v>
      </c>
      <c r="F147" t="s">
        <v>23</v>
      </c>
      <c r="G147" t="s">
        <v>24</v>
      </c>
      <c r="H147" t="s">
        <v>25</v>
      </c>
      <c r="I147" t="s">
        <v>123</v>
      </c>
      <c r="J147" t="s">
        <v>124</v>
      </c>
      <c r="K147" t="s">
        <v>28</v>
      </c>
      <c r="L147" t="s">
        <v>29</v>
      </c>
      <c r="M147" t="s">
        <v>30</v>
      </c>
      <c r="N147" t="s">
        <v>31</v>
      </c>
      <c r="O147" t="s">
        <v>32</v>
      </c>
      <c r="P147" t="s">
        <v>125</v>
      </c>
      <c r="Q147" t="s">
        <v>126</v>
      </c>
      <c r="R147" t="s">
        <v>220</v>
      </c>
      <c r="S147" t="s">
        <v>63</v>
      </c>
      <c r="T147" t="s">
        <v>164</v>
      </c>
      <c r="U147" t="s">
        <v>200</v>
      </c>
      <c r="V147" t="s">
        <v>201</v>
      </c>
      <c r="W147">
        <v>1</v>
      </c>
    </row>
    <row r="148" spans="1:23" x14ac:dyDescent="0.3">
      <c r="A148">
        <v>50032419</v>
      </c>
      <c r="B148" s="1">
        <v>46068</v>
      </c>
      <c r="C148">
        <v>15</v>
      </c>
      <c r="D148">
        <v>2</v>
      </c>
      <c r="E148">
        <v>2026</v>
      </c>
      <c r="F148" t="s">
        <v>23</v>
      </c>
      <c r="G148" t="s">
        <v>24</v>
      </c>
      <c r="H148" t="s">
        <v>25</v>
      </c>
      <c r="I148" t="s">
        <v>158</v>
      </c>
      <c r="J148" t="s">
        <v>159</v>
      </c>
      <c r="K148" t="s">
        <v>28</v>
      </c>
      <c r="L148" t="s">
        <v>29</v>
      </c>
      <c r="M148" t="s">
        <v>30</v>
      </c>
      <c r="N148" t="s">
        <v>31</v>
      </c>
      <c r="O148" t="s">
        <v>160</v>
      </c>
      <c r="P148" t="s">
        <v>161</v>
      </c>
      <c r="Q148" t="s">
        <v>162</v>
      </c>
      <c r="R148" t="s">
        <v>330</v>
      </c>
      <c r="S148" t="s">
        <v>63</v>
      </c>
      <c r="T148" t="s">
        <v>164</v>
      </c>
      <c r="U148" t="s">
        <v>200</v>
      </c>
      <c r="V148" t="s">
        <v>201</v>
      </c>
      <c r="W148">
        <v>0</v>
      </c>
    </row>
    <row r="149" spans="1:23" x14ac:dyDescent="0.3">
      <c r="A149">
        <v>49395328</v>
      </c>
      <c r="B149" s="1">
        <v>46053</v>
      </c>
      <c r="C149">
        <v>31</v>
      </c>
      <c r="D149">
        <v>1</v>
      </c>
      <c r="E149">
        <v>2026</v>
      </c>
      <c r="F149" t="s">
        <v>23</v>
      </c>
      <c r="G149" t="s">
        <v>24</v>
      </c>
      <c r="H149" t="s">
        <v>25</v>
      </c>
      <c r="I149" t="s">
        <v>281</v>
      </c>
      <c r="J149" t="s">
        <v>282</v>
      </c>
      <c r="K149" t="s">
        <v>28</v>
      </c>
      <c r="L149" t="s">
        <v>29</v>
      </c>
      <c r="M149" t="s">
        <v>30</v>
      </c>
      <c r="N149" t="s">
        <v>31</v>
      </c>
      <c r="O149" t="s">
        <v>32</v>
      </c>
      <c r="P149" t="s">
        <v>283</v>
      </c>
      <c r="Q149" t="s">
        <v>284</v>
      </c>
      <c r="R149" t="s">
        <v>537</v>
      </c>
      <c r="S149" t="s">
        <v>47</v>
      </c>
      <c r="T149" t="s">
        <v>373</v>
      </c>
      <c r="U149" t="s">
        <v>538</v>
      </c>
      <c r="V149" t="s">
        <v>539</v>
      </c>
      <c r="W149">
        <v>2</v>
      </c>
    </row>
    <row r="150" spans="1:23" x14ac:dyDescent="0.3">
      <c r="A150">
        <v>49671642</v>
      </c>
      <c r="B150" s="1">
        <v>46062</v>
      </c>
      <c r="C150">
        <v>9</v>
      </c>
      <c r="D150">
        <v>2</v>
      </c>
      <c r="E150">
        <v>2026</v>
      </c>
      <c r="F150" t="s">
        <v>23</v>
      </c>
      <c r="G150" t="s">
        <v>24</v>
      </c>
      <c r="H150" t="s">
        <v>25</v>
      </c>
      <c r="I150" t="s">
        <v>26</v>
      </c>
      <c r="J150" t="s">
        <v>27</v>
      </c>
      <c r="K150" t="s">
        <v>28</v>
      </c>
      <c r="L150" t="s">
        <v>29</v>
      </c>
      <c r="M150" t="s">
        <v>30</v>
      </c>
      <c r="N150" t="s">
        <v>31</v>
      </c>
      <c r="O150" t="s">
        <v>32</v>
      </c>
      <c r="P150" t="s">
        <v>33</v>
      </c>
      <c r="Q150" t="s">
        <v>34</v>
      </c>
      <c r="R150" t="s">
        <v>540</v>
      </c>
      <c r="S150" t="s">
        <v>47</v>
      </c>
      <c r="T150" t="s">
        <v>48</v>
      </c>
      <c r="U150" t="s">
        <v>142</v>
      </c>
      <c r="V150" t="s">
        <v>143</v>
      </c>
      <c r="W150">
        <v>3</v>
      </c>
    </row>
    <row r="151" spans="1:23" x14ac:dyDescent="0.3">
      <c r="A151">
        <v>50031443</v>
      </c>
      <c r="B151" s="1">
        <v>46067</v>
      </c>
      <c r="C151">
        <v>14</v>
      </c>
      <c r="D151">
        <v>2</v>
      </c>
      <c r="E151">
        <v>2026</v>
      </c>
      <c r="F151" t="s">
        <v>51</v>
      </c>
      <c r="G151" t="s">
        <v>52</v>
      </c>
      <c r="H151" t="s">
        <v>53</v>
      </c>
      <c r="I151" t="s">
        <v>104</v>
      </c>
      <c r="J151" t="s">
        <v>105</v>
      </c>
      <c r="K151" t="s">
        <v>28</v>
      </c>
      <c r="L151" t="s">
        <v>56</v>
      </c>
      <c r="M151" t="s">
        <v>57</v>
      </c>
      <c r="N151" t="s">
        <v>58</v>
      </c>
      <c r="O151" t="s">
        <v>59</v>
      </c>
      <c r="P151" t="s">
        <v>60</v>
      </c>
      <c r="Q151" t="s">
        <v>106</v>
      </c>
      <c r="R151" t="s">
        <v>187</v>
      </c>
      <c r="S151" t="s">
        <v>47</v>
      </c>
      <c r="T151" t="s">
        <v>113</v>
      </c>
      <c r="U151" t="s">
        <v>188</v>
      </c>
      <c r="V151" t="s">
        <v>189</v>
      </c>
      <c r="W151">
        <v>4</v>
      </c>
    </row>
    <row r="152" spans="1:23" x14ac:dyDescent="0.3">
      <c r="A152">
        <v>49888209</v>
      </c>
      <c r="B152" s="1">
        <v>46064</v>
      </c>
      <c r="C152">
        <v>11</v>
      </c>
      <c r="D152">
        <v>2</v>
      </c>
      <c r="E152">
        <v>2026</v>
      </c>
      <c r="F152" t="s">
        <v>23</v>
      </c>
      <c r="G152" t="s">
        <v>24</v>
      </c>
      <c r="H152" t="s">
        <v>25</v>
      </c>
      <c r="I152" t="s">
        <v>158</v>
      </c>
      <c r="J152" t="s">
        <v>159</v>
      </c>
      <c r="K152" t="s">
        <v>28</v>
      </c>
      <c r="L152" t="s">
        <v>29</v>
      </c>
      <c r="M152" t="s">
        <v>30</v>
      </c>
      <c r="N152" t="s">
        <v>31</v>
      </c>
      <c r="O152" t="s">
        <v>160</v>
      </c>
      <c r="P152" t="s">
        <v>161</v>
      </c>
      <c r="Q152" t="s">
        <v>162</v>
      </c>
      <c r="R152" t="s">
        <v>541</v>
      </c>
      <c r="S152" t="s">
        <v>63</v>
      </c>
      <c r="T152" t="s">
        <v>164</v>
      </c>
      <c r="U152" t="s">
        <v>197</v>
      </c>
      <c r="V152" t="s">
        <v>229</v>
      </c>
      <c r="W152">
        <v>5</v>
      </c>
    </row>
    <row r="153" spans="1:23" x14ac:dyDescent="0.3">
      <c r="A153">
        <v>50023781</v>
      </c>
      <c r="B153" s="1">
        <v>46066</v>
      </c>
      <c r="C153">
        <v>13</v>
      </c>
      <c r="D153">
        <v>2</v>
      </c>
      <c r="E153">
        <v>2026</v>
      </c>
      <c r="F153" t="s">
        <v>23</v>
      </c>
      <c r="G153" t="s">
        <v>24</v>
      </c>
      <c r="H153" t="s">
        <v>25</v>
      </c>
      <c r="I153" t="s">
        <v>123</v>
      </c>
      <c r="J153" t="s">
        <v>124</v>
      </c>
      <c r="K153" t="s">
        <v>28</v>
      </c>
      <c r="L153" t="s">
        <v>29</v>
      </c>
      <c r="M153" t="s">
        <v>30</v>
      </c>
      <c r="N153" t="s">
        <v>31</v>
      </c>
      <c r="O153" t="s">
        <v>32</v>
      </c>
      <c r="P153" t="s">
        <v>125</v>
      </c>
      <c r="Q153" t="s">
        <v>126</v>
      </c>
      <c r="R153" t="s">
        <v>393</v>
      </c>
      <c r="S153" t="s">
        <v>63</v>
      </c>
      <c r="T153" t="s">
        <v>164</v>
      </c>
      <c r="U153" t="s">
        <v>293</v>
      </c>
      <c r="V153" t="s">
        <v>314</v>
      </c>
      <c r="W153">
        <v>6</v>
      </c>
    </row>
    <row r="154" spans="1:23" x14ac:dyDescent="0.3">
      <c r="A154">
        <v>49724506</v>
      </c>
      <c r="B154" s="1">
        <v>46052</v>
      </c>
      <c r="C154">
        <v>30</v>
      </c>
      <c r="D154">
        <v>1</v>
      </c>
      <c r="E154">
        <v>2026</v>
      </c>
      <c r="F154" t="s">
        <v>23</v>
      </c>
      <c r="G154" t="s">
        <v>24</v>
      </c>
      <c r="H154" t="s">
        <v>25</v>
      </c>
      <c r="I154" t="s">
        <v>108</v>
      </c>
      <c r="J154" t="s">
        <v>109</v>
      </c>
      <c r="K154" t="s">
        <v>28</v>
      </c>
      <c r="L154" t="s">
        <v>29</v>
      </c>
      <c r="M154" t="s">
        <v>30</v>
      </c>
      <c r="N154" t="s">
        <v>31</v>
      </c>
      <c r="O154" t="s">
        <v>32</v>
      </c>
      <c r="P154" t="s">
        <v>110</v>
      </c>
      <c r="Q154" t="s">
        <v>111</v>
      </c>
      <c r="R154" t="s">
        <v>542</v>
      </c>
      <c r="S154" t="s">
        <v>47</v>
      </c>
      <c r="T154" t="s">
        <v>48</v>
      </c>
      <c r="U154" t="s">
        <v>363</v>
      </c>
      <c r="V154" t="s">
        <v>364</v>
      </c>
      <c r="W154">
        <v>8</v>
      </c>
    </row>
    <row r="155" spans="1:23" x14ac:dyDescent="0.3">
      <c r="A155">
        <v>49304149</v>
      </c>
      <c r="B155" s="1">
        <v>46054</v>
      </c>
      <c r="C155">
        <v>1</v>
      </c>
      <c r="D155">
        <v>2</v>
      </c>
      <c r="E155">
        <v>2026</v>
      </c>
      <c r="F155" t="s">
        <v>23</v>
      </c>
      <c r="G155" t="s">
        <v>24</v>
      </c>
      <c r="H155" t="s">
        <v>25</v>
      </c>
      <c r="I155" t="s">
        <v>406</v>
      </c>
      <c r="J155" t="s">
        <v>407</v>
      </c>
      <c r="K155" t="s">
        <v>28</v>
      </c>
      <c r="L155" t="s">
        <v>29</v>
      </c>
      <c r="M155" t="s">
        <v>30</v>
      </c>
      <c r="N155" t="s">
        <v>31</v>
      </c>
      <c r="O155" t="s">
        <v>32</v>
      </c>
      <c r="P155" t="s">
        <v>98</v>
      </c>
      <c r="Q155" t="s">
        <v>99</v>
      </c>
      <c r="R155" t="s">
        <v>170</v>
      </c>
      <c r="S155" t="s">
        <v>63</v>
      </c>
      <c r="T155" t="s">
        <v>154</v>
      </c>
      <c r="U155" t="s">
        <v>155</v>
      </c>
      <c r="V155" t="s">
        <v>171</v>
      </c>
      <c r="W155">
        <v>9</v>
      </c>
    </row>
    <row r="156" spans="1:23" x14ac:dyDescent="0.3">
      <c r="A156">
        <v>49671634</v>
      </c>
      <c r="B156" s="1">
        <v>46062</v>
      </c>
      <c r="C156">
        <v>9</v>
      </c>
      <c r="D156">
        <v>2</v>
      </c>
      <c r="E156">
        <v>2026</v>
      </c>
      <c r="F156" t="s">
        <v>23</v>
      </c>
      <c r="G156" t="s">
        <v>24</v>
      </c>
      <c r="H156" t="s">
        <v>25</v>
      </c>
      <c r="I156" t="s">
        <v>244</v>
      </c>
      <c r="J156" t="s">
        <v>245</v>
      </c>
      <c r="K156" t="s">
        <v>28</v>
      </c>
      <c r="L156" t="s">
        <v>29</v>
      </c>
      <c r="M156" t="s">
        <v>30</v>
      </c>
      <c r="N156" t="s">
        <v>31</v>
      </c>
      <c r="O156" t="s">
        <v>138</v>
      </c>
      <c r="P156" t="s">
        <v>246</v>
      </c>
      <c r="Q156" t="s">
        <v>247</v>
      </c>
      <c r="R156" t="s">
        <v>543</v>
      </c>
      <c r="S156" t="s">
        <v>47</v>
      </c>
      <c r="T156" t="s">
        <v>48</v>
      </c>
      <c r="U156" t="s">
        <v>142</v>
      </c>
      <c r="V156" t="s">
        <v>143</v>
      </c>
      <c r="W156">
        <v>5</v>
      </c>
    </row>
    <row r="157" spans="1:23" x14ac:dyDescent="0.3">
      <c r="A157">
        <v>49397349</v>
      </c>
      <c r="B157" s="1">
        <v>46056</v>
      </c>
      <c r="C157">
        <v>3</v>
      </c>
      <c r="D157">
        <v>2</v>
      </c>
      <c r="E157">
        <v>2026</v>
      </c>
      <c r="F157" t="s">
        <v>23</v>
      </c>
      <c r="G157" t="s">
        <v>24</v>
      </c>
      <c r="H157" t="s">
        <v>25</v>
      </c>
      <c r="I157" t="s">
        <v>251</v>
      </c>
      <c r="J157" t="s">
        <v>252</v>
      </c>
      <c r="K157" t="s">
        <v>28</v>
      </c>
      <c r="L157" t="s">
        <v>29</v>
      </c>
      <c r="M157" t="s">
        <v>30</v>
      </c>
      <c r="N157" t="s">
        <v>31</v>
      </c>
      <c r="O157" t="s">
        <v>32</v>
      </c>
      <c r="P157" t="s">
        <v>125</v>
      </c>
      <c r="Q157" t="s">
        <v>253</v>
      </c>
      <c r="R157" t="s">
        <v>544</v>
      </c>
      <c r="S157" t="s">
        <v>47</v>
      </c>
      <c r="T157" t="s">
        <v>79</v>
      </c>
      <c r="U157" t="s">
        <v>80</v>
      </c>
      <c r="V157" t="s">
        <v>81</v>
      </c>
      <c r="W157">
        <v>2</v>
      </c>
    </row>
    <row r="158" spans="1:23" x14ac:dyDescent="0.3">
      <c r="A158">
        <v>49888207</v>
      </c>
      <c r="B158" s="1">
        <v>46064</v>
      </c>
      <c r="C158">
        <v>11</v>
      </c>
      <c r="D158">
        <v>2</v>
      </c>
      <c r="E158">
        <v>2026</v>
      </c>
      <c r="F158" t="s">
        <v>23</v>
      </c>
      <c r="G158" t="s">
        <v>24</v>
      </c>
      <c r="H158" t="s">
        <v>25</v>
      </c>
      <c r="I158" t="s">
        <v>346</v>
      </c>
      <c r="J158" t="s">
        <v>347</v>
      </c>
      <c r="K158" t="s">
        <v>28</v>
      </c>
      <c r="L158" t="s">
        <v>29</v>
      </c>
      <c r="M158" t="s">
        <v>30</v>
      </c>
      <c r="N158" t="s">
        <v>31</v>
      </c>
      <c r="O158" t="s">
        <v>138</v>
      </c>
      <c r="P158" t="s">
        <v>348</v>
      </c>
      <c r="Q158" t="s">
        <v>349</v>
      </c>
      <c r="R158" t="s">
        <v>545</v>
      </c>
      <c r="S158" t="s">
        <v>63</v>
      </c>
      <c r="T158" t="s">
        <v>164</v>
      </c>
      <c r="U158" t="s">
        <v>165</v>
      </c>
      <c r="V158" t="s">
        <v>527</v>
      </c>
      <c r="W158">
        <v>1</v>
      </c>
    </row>
    <row r="159" spans="1:23" x14ac:dyDescent="0.3">
      <c r="A159">
        <v>49885944</v>
      </c>
      <c r="B159" s="1">
        <v>46038</v>
      </c>
      <c r="C159">
        <v>16</v>
      </c>
      <c r="D159">
        <v>1</v>
      </c>
      <c r="E159">
        <v>2026</v>
      </c>
      <c r="F159" t="s">
        <v>23</v>
      </c>
      <c r="G159" t="s">
        <v>24</v>
      </c>
      <c r="H159" t="s">
        <v>25</v>
      </c>
      <c r="I159" t="s">
        <v>546</v>
      </c>
      <c r="J159" t="s">
        <v>547</v>
      </c>
      <c r="K159" t="s">
        <v>28</v>
      </c>
      <c r="L159" t="s">
        <v>29</v>
      </c>
      <c r="M159" t="s">
        <v>30</v>
      </c>
      <c r="N159" t="s">
        <v>31</v>
      </c>
      <c r="O159" t="s">
        <v>32</v>
      </c>
      <c r="P159" t="s">
        <v>110</v>
      </c>
      <c r="Q159" t="s">
        <v>548</v>
      </c>
      <c r="R159" t="s">
        <v>549</v>
      </c>
      <c r="S159" t="s">
        <v>36</v>
      </c>
      <c r="T159" t="s">
        <v>451</v>
      </c>
      <c r="U159" t="s">
        <v>452</v>
      </c>
      <c r="V159" t="s">
        <v>453</v>
      </c>
      <c r="W159">
        <v>4</v>
      </c>
    </row>
    <row r="160" spans="1:23" x14ac:dyDescent="0.3">
      <c r="A160">
        <v>48903693</v>
      </c>
      <c r="B160" s="1">
        <v>46048</v>
      </c>
      <c r="C160">
        <v>26</v>
      </c>
      <c r="D160">
        <v>1</v>
      </c>
      <c r="E160">
        <v>2026</v>
      </c>
      <c r="F160" t="s">
        <v>23</v>
      </c>
      <c r="G160" t="s">
        <v>24</v>
      </c>
      <c r="H160" t="s">
        <v>25</v>
      </c>
      <c r="I160" t="s">
        <v>123</v>
      </c>
      <c r="J160" t="s">
        <v>124</v>
      </c>
      <c r="K160" t="s">
        <v>28</v>
      </c>
      <c r="L160" t="s">
        <v>29</v>
      </c>
      <c r="M160" t="s">
        <v>30</v>
      </c>
      <c r="N160" t="s">
        <v>31</v>
      </c>
      <c r="O160" t="s">
        <v>32</v>
      </c>
      <c r="P160" t="s">
        <v>125</v>
      </c>
      <c r="Q160" t="s">
        <v>126</v>
      </c>
      <c r="R160" t="s">
        <v>550</v>
      </c>
      <c r="S160" t="s">
        <v>47</v>
      </c>
      <c r="T160" t="s">
        <v>113</v>
      </c>
      <c r="U160" t="s">
        <v>475</v>
      </c>
      <c r="V160" t="s">
        <v>489</v>
      </c>
      <c r="W160">
        <v>6</v>
      </c>
    </row>
    <row r="161" spans="1:23" x14ac:dyDescent="0.3">
      <c r="A161">
        <v>49396426</v>
      </c>
      <c r="B161" s="1">
        <v>46056</v>
      </c>
      <c r="C161">
        <v>3</v>
      </c>
      <c r="D161">
        <v>2</v>
      </c>
      <c r="E161">
        <v>2026</v>
      </c>
      <c r="F161" t="s">
        <v>23</v>
      </c>
      <c r="G161" t="s">
        <v>24</v>
      </c>
      <c r="H161" t="s">
        <v>25</v>
      </c>
      <c r="I161" t="s">
        <v>551</v>
      </c>
      <c r="J161" t="s">
        <v>552</v>
      </c>
      <c r="K161" t="s">
        <v>28</v>
      </c>
      <c r="L161" t="s">
        <v>29</v>
      </c>
      <c r="M161" t="s">
        <v>271</v>
      </c>
      <c r="N161" t="s">
        <v>520</v>
      </c>
      <c r="O161" t="s">
        <v>553</v>
      </c>
      <c r="P161" t="s">
        <v>554</v>
      </c>
      <c r="Q161" t="s">
        <v>555</v>
      </c>
      <c r="R161" t="s">
        <v>556</v>
      </c>
      <c r="S161" t="s">
        <v>47</v>
      </c>
      <c r="T161" t="s">
        <v>79</v>
      </c>
      <c r="U161" t="s">
        <v>80</v>
      </c>
      <c r="V161" t="s">
        <v>81</v>
      </c>
      <c r="W161">
        <v>8</v>
      </c>
    </row>
    <row r="162" spans="1:23" x14ac:dyDescent="0.3">
      <c r="A162">
        <v>49298920</v>
      </c>
      <c r="B162" s="1">
        <v>46053</v>
      </c>
      <c r="C162">
        <v>31</v>
      </c>
      <c r="D162">
        <v>1</v>
      </c>
      <c r="E162">
        <v>2026</v>
      </c>
      <c r="F162" t="s">
        <v>23</v>
      </c>
      <c r="G162" t="s">
        <v>24</v>
      </c>
      <c r="H162" t="s">
        <v>25</v>
      </c>
      <c r="I162" t="s">
        <v>144</v>
      </c>
      <c r="J162" t="s">
        <v>145</v>
      </c>
      <c r="K162" t="s">
        <v>28</v>
      </c>
      <c r="L162" t="s">
        <v>29</v>
      </c>
      <c r="M162" t="s">
        <v>30</v>
      </c>
      <c r="N162" t="s">
        <v>31</v>
      </c>
      <c r="O162" t="s">
        <v>32</v>
      </c>
      <c r="P162" t="s">
        <v>33</v>
      </c>
      <c r="Q162" t="s">
        <v>146</v>
      </c>
      <c r="R162" t="s">
        <v>178</v>
      </c>
      <c r="S162" t="s">
        <v>36</v>
      </c>
      <c r="T162" t="s">
        <v>179</v>
      </c>
      <c r="U162" t="s">
        <v>180</v>
      </c>
      <c r="V162" t="s">
        <v>181</v>
      </c>
      <c r="W162">
        <v>7</v>
      </c>
    </row>
    <row r="163" spans="1:23" x14ac:dyDescent="0.3">
      <c r="A163">
        <v>49303224</v>
      </c>
      <c r="B163" s="1">
        <v>46053</v>
      </c>
      <c r="C163">
        <v>31</v>
      </c>
      <c r="D163">
        <v>1</v>
      </c>
      <c r="E163">
        <v>2026</v>
      </c>
      <c r="F163" t="s">
        <v>23</v>
      </c>
      <c r="G163" t="s">
        <v>24</v>
      </c>
      <c r="H163" t="s">
        <v>25</v>
      </c>
      <c r="I163" t="s">
        <v>382</v>
      </c>
      <c r="J163" t="s">
        <v>383</v>
      </c>
      <c r="K163" t="s">
        <v>28</v>
      </c>
      <c r="L163" t="s">
        <v>29</v>
      </c>
      <c r="M163" t="s">
        <v>30</v>
      </c>
      <c r="N163" t="s">
        <v>174</v>
      </c>
      <c r="O163" t="s">
        <v>175</v>
      </c>
      <c r="P163" t="s">
        <v>176</v>
      </c>
      <c r="Q163" t="s">
        <v>177</v>
      </c>
      <c r="R163" t="s">
        <v>405</v>
      </c>
      <c r="S163" t="s">
        <v>47</v>
      </c>
      <c r="T163" t="s">
        <v>120</v>
      </c>
      <c r="U163" t="s">
        <v>233</v>
      </c>
      <c r="V163" t="s">
        <v>234</v>
      </c>
      <c r="W163">
        <v>9</v>
      </c>
    </row>
    <row r="164" spans="1:23" x14ac:dyDescent="0.3">
      <c r="A164">
        <v>50032035</v>
      </c>
      <c r="B164" s="1">
        <v>46068</v>
      </c>
      <c r="C164">
        <v>15</v>
      </c>
      <c r="D164">
        <v>2</v>
      </c>
      <c r="E164">
        <v>2026</v>
      </c>
      <c r="F164" t="s">
        <v>23</v>
      </c>
      <c r="G164" t="s">
        <v>24</v>
      </c>
      <c r="H164" t="s">
        <v>25</v>
      </c>
      <c r="I164" t="s">
        <v>557</v>
      </c>
      <c r="J164" t="s">
        <v>558</v>
      </c>
      <c r="K164" t="s">
        <v>28</v>
      </c>
      <c r="L164" t="s">
        <v>29</v>
      </c>
      <c r="M164" t="s">
        <v>271</v>
      </c>
      <c r="N164" t="s">
        <v>272</v>
      </c>
      <c r="O164" t="s">
        <v>559</v>
      </c>
      <c r="P164" t="s">
        <v>560</v>
      </c>
      <c r="Q164" t="s">
        <v>561</v>
      </c>
      <c r="R164" t="s">
        <v>562</v>
      </c>
      <c r="S164" t="s">
        <v>63</v>
      </c>
      <c r="T164" t="s">
        <v>164</v>
      </c>
      <c r="U164" t="s">
        <v>402</v>
      </c>
      <c r="V164" t="s">
        <v>403</v>
      </c>
      <c r="W164">
        <v>2</v>
      </c>
    </row>
    <row r="165" spans="1:23" x14ac:dyDescent="0.3">
      <c r="A165">
        <v>49517751</v>
      </c>
      <c r="B165" s="1">
        <v>46057</v>
      </c>
      <c r="C165">
        <v>4</v>
      </c>
      <c r="D165">
        <v>2</v>
      </c>
      <c r="E165">
        <v>2026</v>
      </c>
      <c r="F165" t="s">
        <v>23</v>
      </c>
      <c r="G165" t="s">
        <v>24</v>
      </c>
      <c r="H165" t="s">
        <v>25</v>
      </c>
      <c r="I165" t="s">
        <v>563</v>
      </c>
      <c r="J165" t="s">
        <v>564</v>
      </c>
      <c r="K165" t="s">
        <v>28</v>
      </c>
      <c r="L165" t="s">
        <v>29</v>
      </c>
      <c r="M165" t="s">
        <v>30</v>
      </c>
      <c r="N165" t="s">
        <v>31</v>
      </c>
      <c r="O165" t="s">
        <v>160</v>
      </c>
      <c r="P165" t="s">
        <v>161</v>
      </c>
      <c r="Q165" t="s">
        <v>565</v>
      </c>
      <c r="R165" t="s">
        <v>566</v>
      </c>
      <c r="S165" t="s">
        <v>36</v>
      </c>
      <c r="T165" t="s">
        <v>37</v>
      </c>
      <c r="U165" t="s">
        <v>38</v>
      </c>
      <c r="V165" t="s">
        <v>39</v>
      </c>
      <c r="W165">
        <v>4</v>
      </c>
    </row>
    <row r="166" spans="1:23" x14ac:dyDescent="0.3">
      <c r="A166">
        <v>50010273</v>
      </c>
      <c r="B166" s="1">
        <v>46066</v>
      </c>
      <c r="C166">
        <v>13</v>
      </c>
      <c r="D166">
        <v>2</v>
      </c>
      <c r="E166">
        <v>2026</v>
      </c>
      <c r="F166" t="s">
        <v>23</v>
      </c>
      <c r="G166" t="s">
        <v>24</v>
      </c>
      <c r="H166" t="s">
        <v>25</v>
      </c>
      <c r="I166" t="s">
        <v>158</v>
      </c>
      <c r="J166" t="s">
        <v>159</v>
      </c>
      <c r="K166" t="s">
        <v>28</v>
      </c>
      <c r="L166" t="s">
        <v>29</v>
      </c>
      <c r="M166" t="s">
        <v>30</v>
      </c>
      <c r="N166" t="s">
        <v>31</v>
      </c>
      <c r="O166" t="s">
        <v>160</v>
      </c>
      <c r="P166" t="s">
        <v>161</v>
      </c>
      <c r="Q166" t="s">
        <v>162</v>
      </c>
      <c r="R166" t="s">
        <v>567</v>
      </c>
      <c r="S166" t="s">
        <v>47</v>
      </c>
      <c r="T166" t="s">
        <v>48</v>
      </c>
      <c r="U166" t="s">
        <v>568</v>
      </c>
      <c r="V166" t="s">
        <v>569</v>
      </c>
      <c r="W166">
        <v>5</v>
      </c>
    </row>
    <row r="167" spans="1:23" x14ac:dyDescent="0.3">
      <c r="A167">
        <v>49303884</v>
      </c>
      <c r="B167" s="1">
        <v>46054</v>
      </c>
      <c r="C167">
        <v>1</v>
      </c>
      <c r="D167">
        <v>2</v>
      </c>
      <c r="E167">
        <v>2026</v>
      </c>
      <c r="F167" t="s">
        <v>23</v>
      </c>
      <c r="G167" t="s">
        <v>24</v>
      </c>
      <c r="H167" t="s">
        <v>25</v>
      </c>
      <c r="I167" t="s">
        <v>26</v>
      </c>
      <c r="J167" t="s">
        <v>27</v>
      </c>
      <c r="K167" t="s">
        <v>28</v>
      </c>
      <c r="L167" t="s">
        <v>29</v>
      </c>
      <c r="M167" t="s">
        <v>30</v>
      </c>
      <c r="N167" t="s">
        <v>31</v>
      </c>
      <c r="O167" t="s">
        <v>32</v>
      </c>
      <c r="P167" t="s">
        <v>33</v>
      </c>
      <c r="Q167" t="s">
        <v>34</v>
      </c>
      <c r="R167" t="s">
        <v>570</v>
      </c>
      <c r="S167" t="s">
        <v>63</v>
      </c>
      <c r="T167" t="s">
        <v>154</v>
      </c>
      <c r="U167" t="s">
        <v>155</v>
      </c>
      <c r="V167" t="s">
        <v>171</v>
      </c>
      <c r="W167">
        <v>6</v>
      </c>
    </row>
    <row r="168" spans="1:23" x14ac:dyDescent="0.3">
      <c r="A168">
        <v>48675298</v>
      </c>
      <c r="B168" s="1">
        <v>46038</v>
      </c>
      <c r="C168">
        <v>16</v>
      </c>
      <c r="D168">
        <v>1</v>
      </c>
      <c r="E168">
        <v>2026</v>
      </c>
      <c r="F168" t="s">
        <v>23</v>
      </c>
      <c r="G168" t="s">
        <v>24</v>
      </c>
      <c r="H168" t="s">
        <v>25</v>
      </c>
      <c r="I168" t="s">
        <v>144</v>
      </c>
      <c r="J168" t="s">
        <v>145</v>
      </c>
      <c r="K168" t="s">
        <v>28</v>
      </c>
      <c r="L168" t="s">
        <v>29</v>
      </c>
      <c r="M168" t="s">
        <v>30</v>
      </c>
      <c r="N168" t="s">
        <v>31</v>
      </c>
      <c r="O168" t="s">
        <v>32</v>
      </c>
      <c r="P168" t="s">
        <v>33</v>
      </c>
      <c r="Q168" t="s">
        <v>146</v>
      </c>
      <c r="R168" t="s">
        <v>571</v>
      </c>
      <c r="S168" t="s">
        <v>47</v>
      </c>
      <c r="T168" t="s">
        <v>113</v>
      </c>
      <c r="U168" t="s">
        <v>379</v>
      </c>
      <c r="V168" t="s">
        <v>380</v>
      </c>
      <c r="W168">
        <v>2</v>
      </c>
    </row>
    <row r="169" spans="1:23" x14ac:dyDescent="0.3">
      <c r="A169">
        <v>49962481</v>
      </c>
      <c r="B169" s="1">
        <v>46065</v>
      </c>
      <c r="C169">
        <v>12</v>
      </c>
      <c r="D169">
        <v>2</v>
      </c>
      <c r="E169">
        <v>2026</v>
      </c>
      <c r="F169" t="s">
        <v>23</v>
      </c>
      <c r="G169" t="s">
        <v>24</v>
      </c>
      <c r="H169" t="s">
        <v>25</v>
      </c>
      <c r="I169" t="s">
        <v>244</v>
      </c>
      <c r="J169" t="s">
        <v>245</v>
      </c>
      <c r="K169" t="s">
        <v>28</v>
      </c>
      <c r="L169" t="s">
        <v>29</v>
      </c>
      <c r="M169" t="s">
        <v>30</v>
      </c>
      <c r="N169" t="s">
        <v>31</v>
      </c>
      <c r="O169" t="s">
        <v>138</v>
      </c>
      <c r="P169" t="s">
        <v>246</v>
      </c>
      <c r="Q169" t="s">
        <v>247</v>
      </c>
      <c r="R169" t="s">
        <v>572</v>
      </c>
      <c r="S169" t="s">
        <v>47</v>
      </c>
      <c r="T169" t="s">
        <v>48</v>
      </c>
      <c r="U169" t="s">
        <v>183</v>
      </c>
      <c r="V169" t="s">
        <v>184</v>
      </c>
      <c r="W169">
        <v>8</v>
      </c>
    </row>
    <row r="170" spans="1:23" x14ac:dyDescent="0.3">
      <c r="A170">
        <v>48720809</v>
      </c>
      <c r="B170" s="1">
        <v>46042</v>
      </c>
      <c r="C170">
        <v>20</v>
      </c>
      <c r="D170">
        <v>1</v>
      </c>
      <c r="E170">
        <v>2026</v>
      </c>
      <c r="F170" t="s">
        <v>51</v>
      </c>
      <c r="G170" t="s">
        <v>52</v>
      </c>
      <c r="H170" t="s">
        <v>53</v>
      </c>
      <c r="I170" t="s">
        <v>213</v>
      </c>
      <c r="J170" t="s">
        <v>214</v>
      </c>
      <c r="K170" t="s">
        <v>28</v>
      </c>
      <c r="L170" t="s">
        <v>56</v>
      </c>
      <c r="M170" t="s">
        <v>57</v>
      </c>
      <c r="N170" t="s">
        <v>58</v>
      </c>
      <c r="O170" t="s">
        <v>59</v>
      </c>
      <c r="P170" t="s">
        <v>60</v>
      </c>
      <c r="Q170" t="s">
        <v>215</v>
      </c>
      <c r="R170" t="s">
        <v>573</v>
      </c>
      <c r="S170" t="s">
        <v>47</v>
      </c>
      <c r="T170" t="s">
        <v>574</v>
      </c>
      <c r="U170" t="s">
        <v>575</v>
      </c>
      <c r="V170" t="s">
        <v>576</v>
      </c>
      <c r="W170">
        <v>6</v>
      </c>
    </row>
    <row r="171" spans="1:23" x14ac:dyDescent="0.3">
      <c r="A171">
        <v>48995017</v>
      </c>
      <c r="B171" s="1">
        <v>46045</v>
      </c>
      <c r="C171">
        <v>23</v>
      </c>
      <c r="D171">
        <v>1</v>
      </c>
      <c r="E171">
        <v>2026</v>
      </c>
      <c r="F171" t="s">
        <v>23</v>
      </c>
      <c r="G171" t="s">
        <v>24</v>
      </c>
      <c r="H171" t="s">
        <v>25</v>
      </c>
      <c r="I171" t="s">
        <v>26</v>
      </c>
      <c r="J171" t="s">
        <v>27</v>
      </c>
      <c r="K171" t="s">
        <v>28</v>
      </c>
      <c r="L171" t="s">
        <v>29</v>
      </c>
      <c r="M171" t="s">
        <v>30</v>
      </c>
      <c r="N171" t="s">
        <v>31</v>
      </c>
      <c r="O171" t="s">
        <v>32</v>
      </c>
      <c r="P171" t="s">
        <v>33</v>
      </c>
      <c r="Q171" t="s">
        <v>34</v>
      </c>
      <c r="R171" t="s">
        <v>577</v>
      </c>
      <c r="S171" t="s">
        <v>47</v>
      </c>
      <c r="T171" t="s">
        <v>48</v>
      </c>
      <c r="U171" t="s">
        <v>203</v>
      </c>
      <c r="V171" t="s">
        <v>204</v>
      </c>
      <c r="W171">
        <v>1</v>
      </c>
    </row>
    <row r="172" spans="1:23" x14ac:dyDescent="0.3">
      <c r="A172">
        <v>49962483</v>
      </c>
      <c r="B172" s="1">
        <v>46065</v>
      </c>
      <c r="C172">
        <v>12</v>
      </c>
      <c r="D172">
        <v>2</v>
      </c>
      <c r="E172">
        <v>2026</v>
      </c>
      <c r="F172" t="s">
        <v>23</v>
      </c>
      <c r="G172" t="s">
        <v>24</v>
      </c>
      <c r="H172" t="s">
        <v>25</v>
      </c>
      <c r="I172" t="s">
        <v>578</v>
      </c>
      <c r="J172" t="s">
        <v>579</v>
      </c>
      <c r="K172" t="s">
        <v>28</v>
      </c>
      <c r="L172" t="s">
        <v>29</v>
      </c>
      <c r="M172" t="s">
        <v>30</v>
      </c>
      <c r="N172" t="s">
        <v>31</v>
      </c>
      <c r="O172" t="s">
        <v>32</v>
      </c>
      <c r="P172" t="s">
        <v>125</v>
      </c>
      <c r="Q172" t="s">
        <v>126</v>
      </c>
      <c r="R172" t="s">
        <v>184</v>
      </c>
      <c r="S172" t="s">
        <v>47</v>
      </c>
      <c r="T172" t="s">
        <v>48</v>
      </c>
      <c r="U172" t="s">
        <v>183</v>
      </c>
      <c r="V172" t="s">
        <v>184</v>
      </c>
      <c r="W172">
        <v>0</v>
      </c>
    </row>
    <row r="173" spans="1:23" x14ac:dyDescent="0.3">
      <c r="A173">
        <v>49888236</v>
      </c>
      <c r="B173" s="1">
        <v>46064</v>
      </c>
      <c r="C173">
        <v>11</v>
      </c>
      <c r="D173">
        <v>2</v>
      </c>
      <c r="E173">
        <v>2026</v>
      </c>
      <c r="F173" t="s">
        <v>23</v>
      </c>
      <c r="G173" t="s">
        <v>24</v>
      </c>
      <c r="H173" t="s">
        <v>25</v>
      </c>
      <c r="I173" t="s">
        <v>422</v>
      </c>
      <c r="J173" t="s">
        <v>423</v>
      </c>
      <c r="K173" t="s">
        <v>28</v>
      </c>
      <c r="L173" t="s">
        <v>29</v>
      </c>
      <c r="M173" t="s">
        <v>30</v>
      </c>
      <c r="N173" t="s">
        <v>31</v>
      </c>
      <c r="O173" t="s">
        <v>424</v>
      </c>
      <c r="P173" t="s">
        <v>425</v>
      </c>
      <c r="Q173" t="s">
        <v>426</v>
      </c>
      <c r="R173" t="s">
        <v>541</v>
      </c>
      <c r="S173" t="s">
        <v>63</v>
      </c>
      <c r="T173" t="s">
        <v>164</v>
      </c>
      <c r="U173" t="s">
        <v>197</v>
      </c>
      <c r="V173" t="s">
        <v>229</v>
      </c>
      <c r="W173">
        <v>0</v>
      </c>
    </row>
    <row r="174" spans="1:23" x14ac:dyDescent="0.3">
      <c r="A174">
        <v>49512975</v>
      </c>
      <c r="B174" s="1">
        <v>46057</v>
      </c>
      <c r="C174">
        <v>4</v>
      </c>
      <c r="D174">
        <v>2</v>
      </c>
      <c r="E174">
        <v>2026</v>
      </c>
      <c r="F174" t="s">
        <v>23</v>
      </c>
      <c r="G174" t="s">
        <v>24</v>
      </c>
      <c r="H174" t="s">
        <v>25</v>
      </c>
      <c r="I174" t="s">
        <v>158</v>
      </c>
      <c r="J174" t="s">
        <v>159</v>
      </c>
      <c r="K174" t="s">
        <v>28</v>
      </c>
      <c r="L174" t="s">
        <v>29</v>
      </c>
      <c r="M174" t="s">
        <v>30</v>
      </c>
      <c r="N174" t="s">
        <v>31</v>
      </c>
      <c r="O174" t="s">
        <v>160</v>
      </c>
      <c r="P174" t="s">
        <v>161</v>
      </c>
      <c r="Q174" t="s">
        <v>162</v>
      </c>
      <c r="R174" t="s">
        <v>443</v>
      </c>
      <c r="S174" t="s">
        <v>63</v>
      </c>
      <c r="T174" t="s">
        <v>164</v>
      </c>
      <c r="U174" t="s">
        <v>444</v>
      </c>
      <c r="V174" t="s">
        <v>445</v>
      </c>
      <c r="W174">
        <v>0</v>
      </c>
    </row>
    <row r="175" spans="1:23" x14ac:dyDescent="0.3">
      <c r="A175">
        <v>49304164</v>
      </c>
      <c r="B175" s="1">
        <v>46054</v>
      </c>
      <c r="C175">
        <v>1</v>
      </c>
      <c r="D175">
        <v>2</v>
      </c>
      <c r="E175">
        <v>2026</v>
      </c>
      <c r="F175" t="s">
        <v>23</v>
      </c>
      <c r="G175" t="s">
        <v>24</v>
      </c>
      <c r="H175" t="s">
        <v>25</v>
      </c>
      <c r="I175" t="s">
        <v>580</v>
      </c>
      <c r="J175" t="s">
        <v>581</v>
      </c>
      <c r="K175" t="s">
        <v>28</v>
      </c>
      <c r="L175" t="s">
        <v>29</v>
      </c>
      <c r="M175" t="s">
        <v>30</v>
      </c>
      <c r="N175" t="s">
        <v>31</v>
      </c>
      <c r="O175" t="s">
        <v>138</v>
      </c>
      <c r="P175" t="s">
        <v>348</v>
      </c>
      <c r="Q175" t="s">
        <v>582</v>
      </c>
      <c r="R175" t="s">
        <v>71</v>
      </c>
      <c r="S175" t="s">
        <v>63</v>
      </c>
      <c r="T175" t="s">
        <v>72</v>
      </c>
      <c r="U175" t="s">
        <v>73</v>
      </c>
      <c r="V175" t="s">
        <v>74</v>
      </c>
      <c r="W175">
        <v>3</v>
      </c>
    </row>
    <row r="176" spans="1:23" x14ac:dyDescent="0.3">
      <c r="A176">
        <v>49724522</v>
      </c>
      <c r="B176" s="1">
        <v>46057</v>
      </c>
      <c r="C176">
        <v>4</v>
      </c>
      <c r="D176">
        <v>2</v>
      </c>
      <c r="E176">
        <v>2026</v>
      </c>
      <c r="F176" t="s">
        <v>23</v>
      </c>
      <c r="G176" t="s">
        <v>24</v>
      </c>
      <c r="H176" t="s">
        <v>25</v>
      </c>
      <c r="I176" t="s">
        <v>303</v>
      </c>
      <c r="J176" t="s">
        <v>304</v>
      </c>
      <c r="K176" t="s">
        <v>28</v>
      </c>
      <c r="L176" t="s">
        <v>29</v>
      </c>
      <c r="M176" t="s">
        <v>271</v>
      </c>
      <c r="N176" t="s">
        <v>272</v>
      </c>
      <c r="O176" t="s">
        <v>305</v>
      </c>
      <c r="P176" t="s">
        <v>306</v>
      </c>
      <c r="Q176" t="s">
        <v>307</v>
      </c>
      <c r="R176" t="s">
        <v>583</v>
      </c>
      <c r="S176" t="s">
        <v>36</v>
      </c>
      <c r="T176" t="s">
        <v>37</v>
      </c>
      <c r="U176" t="s">
        <v>38</v>
      </c>
      <c r="V176" t="s">
        <v>39</v>
      </c>
      <c r="W176">
        <v>5</v>
      </c>
    </row>
    <row r="177" spans="1:23" x14ac:dyDescent="0.3">
      <c r="A177">
        <v>48722316</v>
      </c>
      <c r="B177" s="1">
        <v>46042</v>
      </c>
      <c r="C177">
        <v>20</v>
      </c>
      <c r="D177">
        <v>1</v>
      </c>
      <c r="E177">
        <v>2026</v>
      </c>
      <c r="F177" t="s">
        <v>23</v>
      </c>
      <c r="G177" t="s">
        <v>24</v>
      </c>
      <c r="H177" t="s">
        <v>25</v>
      </c>
      <c r="I177" t="s">
        <v>258</v>
      </c>
      <c r="J177" t="s">
        <v>259</v>
      </c>
      <c r="K177" t="s">
        <v>28</v>
      </c>
      <c r="L177" t="s">
        <v>29</v>
      </c>
      <c r="M177" t="s">
        <v>30</v>
      </c>
      <c r="N177" t="s">
        <v>31</v>
      </c>
      <c r="O177" t="s">
        <v>32</v>
      </c>
      <c r="P177" t="s">
        <v>260</v>
      </c>
      <c r="Q177" t="s">
        <v>261</v>
      </c>
      <c r="R177" t="s">
        <v>584</v>
      </c>
      <c r="S177" t="s">
        <v>47</v>
      </c>
      <c r="T177" t="s">
        <v>373</v>
      </c>
      <c r="U177" t="s">
        <v>374</v>
      </c>
      <c r="V177" t="s">
        <v>375</v>
      </c>
      <c r="W177">
        <v>6</v>
      </c>
    </row>
    <row r="178" spans="1:23" x14ac:dyDescent="0.3">
      <c r="A178">
        <v>49030071</v>
      </c>
      <c r="B178" s="1">
        <v>46042</v>
      </c>
      <c r="C178">
        <v>20</v>
      </c>
      <c r="D178">
        <v>1</v>
      </c>
      <c r="E178">
        <v>2026</v>
      </c>
      <c r="F178" t="s">
        <v>23</v>
      </c>
      <c r="G178" t="s">
        <v>24</v>
      </c>
      <c r="H178" t="s">
        <v>25</v>
      </c>
      <c r="I178" t="s">
        <v>116</v>
      </c>
      <c r="J178" t="s">
        <v>117</v>
      </c>
      <c r="K178" t="s">
        <v>28</v>
      </c>
      <c r="L178" t="s">
        <v>29</v>
      </c>
      <c r="M178" t="s">
        <v>30</v>
      </c>
      <c r="N178" t="s">
        <v>31</v>
      </c>
      <c r="O178" t="s">
        <v>32</v>
      </c>
      <c r="P178" t="s">
        <v>33</v>
      </c>
      <c r="Q178" t="s">
        <v>118</v>
      </c>
      <c r="R178" t="s">
        <v>585</v>
      </c>
      <c r="S178" t="s">
        <v>47</v>
      </c>
      <c r="T178" t="s">
        <v>373</v>
      </c>
      <c r="U178" t="s">
        <v>374</v>
      </c>
      <c r="V178" t="s">
        <v>375</v>
      </c>
      <c r="W178">
        <v>7</v>
      </c>
    </row>
    <row r="179" spans="1:23" x14ac:dyDescent="0.3">
      <c r="A179">
        <v>49724497</v>
      </c>
      <c r="B179" s="1">
        <v>46050</v>
      </c>
      <c r="C179">
        <v>28</v>
      </c>
      <c r="D179">
        <v>1</v>
      </c>
      <c r="E179">
        <v>2026</v>
      </c>
      <c r="F179" t="s">
        <v>23</v>
      </c>
      <c r="G179" t="s">
        <v>24</v>
      </c>
      <c r="H179" t="s">
        <v>25</v>
      </c>
      <c r="I179" t="s">
        <v>116</v>
      </c>
      <c r="J179" t="s">
        <v>117</v>
      </c>
      <c r="K179" t="s">
        <v>28</v>
      </c>
      <c r="L179" t="s">
        <v>29</v>
      </c>
      <c r="M179" t="s">
        <v>30</v>
      </c>
      <c r="N179" t="s">
        <v>31</v>
      </c>
      <c r="O179" t="s">
        <v>32</v>
      </c>
      <c r="P179" t="s">
        <v>33</v>
      </c>
      <c r="Q179" t="s">
        <v>118</v>
      </c>
      <c r="R179" t="s">
        <v>586</v>
      </c>
      <c r="S179" t="s">
        <v>47</v>
      </c>
      <c r="T179" t="s">
        <v>113</v>
      </c>
      <c r="U179" t="s">
        <v>148</v>
      </c>
      <c r="V179" t="s">
        <v>149</v>
      </c>
      <c r="W179">
        <v>8</v>
      </c>
    </row>
    <row r="180" spans="1:23" x14ac:dyDescent="0.3">
      <c r="A180">
        <v>49030072</v>
      </c>
      <c r="B180" s="1">
        <v>46042</v>
      </c>
      <c r="C180">
        <v>20</v>
      </c>
      <c r="D180">
        <v>1</v>
      </c>
      <c r="E180">
        <v>2026</v>
      </c>
      <c r="F180" t="s">
        <v>23</v>
      </c>
      <c r="G180" t="s">
        <v>24</v>
      </c>
      <c r="H180" t="s">
        <v>25</v>
      </c>
      <c r="I180" t="s">
        <v>251</v>
      </c>
      <c r="J180" t="s">
        <v>252</v>
      </c>
      <c r="K180" t="s">
        <v>28</v>
      </c>
      <c r="L180" t="s">
        <v>29</v>
      </c>
      <c r="M180" t="s">
        <v>30</v>
      </c>
      <c r="N180" t="s">
        <v>31</v>
      </c>
      <c r="O180" t="s">
        <v>32</v>
      </c>
      <c r="P180" t="s">
        <v>125</v>
      </c>
      <c r="Q180" t="s">
        <v>253</v>
      </c>
      <c r="R180" t="s">
        <v>587</v>
      </c>
      <c r="S180" t="s">
        <v>47</v>
      </c>
      <c r="T180" t="s">
        <v>373</v>
      </c>
      <c r="U180" t="s">
        <v>374</v>
      </c>
      <c r="V180" t="s">
        <v>375</v>
      </c>
      <c r="W180">
        <v>9</v>
      </c>
    </row>
    <row r="181" spans="1:23" x14ac:dyDescent="0.3">
      <c r="A181">
        <v>49249904</v>
      </c>
      <c r="B181" s="1">
        <v>46051</v>
      </c>
      <c r="C181">
        <v>29</v>
      </c>
      <c r="D181">
        <v>1</v>
      </c>
      <c r="E181">
        <v>2026</v>
      </c>
      <c r="F181" t="s">
        <v>23</v>
      </c>
      <c r="G181" t="s">
        <v>24</v>
      </c>
      <c r="H181" t="s">
        <v>25</v>
      </c>
      <c r="I181" t="s">
        <v>317</v>
      </c>
      <c r="J181" t="s">
        <v>318</v>
      </c>
      <c r="K181" t="s">
        <v>28</v>
      </c>
      <c r="L181" t="s">
        <v>29</v>
      </c>
      <c r="M181" t="s">
        <v>30</v>
      </c>
      <c r="N181" t="s">
        <v>31</v>
      </c>
      <c r="O181" t="s">
        <v>132</v>
      </c>
      <c r="P181" t="s">
        <v>226</v>
      </c>
      <c r="Q181" t="s">
        <v>227</v>
      </c>
      <c r="R181" t="s">
        <v>588</v>
      </c>
      <c r="S181" t="s">
        <v>63</v>
      </c>
      <c r="T181" t="s">
        <v>164</v>
      </c>
      <c r="U181" t="s">
        <v>197</v>
      </c>
      <c r="V181" t="s">
        <v>229</v>
      </c>
      <c r="W181">
        <v>2</v>
      </c>
    </row>
    <row r="182" spans="1:23" x14ac:dyDescent="0.3">
      <c r="A182">
        <v>50032491</v>
      </c>
      <c r="B182" s="1">
        <v>46068</v>
      </c>
      <c r="C182">
        <v>15</v>
      </c>
      <c r="D182">
        <v>2</v>
      </c>
      <c r="E182">
        <v>2026</v>
      </c>
      <c r="F182" t="s">
        <v>23</v>
      </c>
      <c r="G182" t="s">
        <v>24</v>
      </c>
      <c r="H182" t="s">
        <v>25</v>
      </c>
      <c r="I182" t="s">
        <v>589</v>
      </c>
      <c r="J182" t="s">
        <v>590</v>
      </c>
      <c r="K182" t="s">
        <v>28</v>
      </c>
      <c r="L182" t="s">
        <v>29</v>
      </c>
      <c r="M182" t="s">
        <v>30</v>
      </c>
      <c r="N182" t="s">
        <v>31</v>
      </c>
      <c r="O182" t="s">
        <v>591</v>
      </c>
      <c r="P182" t="s">
        <v>592</v>
      </c>
      <c r="Q182" t="s">
        <v>593</v>
      </c>
      <c r="R182" t="s">
        <v>536</v>
      </c>
      <c r="S182" t="s">
        <v>63</v>
      </c>
      <c r="T182" t="s">
        <v>164</v>
      </c>
      <c r="U182" t="s">
        <v>200</v>
      </c>
      <c r="V182" t="s">
        <v>201</v>
      </c>
      <c r="W182">
        <v>5</v>
      </c>
    </row>
    <row r="183" spans="1:23" x14ac:dyDescent="0.3">
      <c r="A183">
        <v>49303282</v>
      </c>
      <c r="B183" s="1">
        <v>46053</v>
      </c>
      <c r="C183">
        <v>31</v>
      </c>
      <c r="D183">
        <v>1</v>
      </c>
      <c r="E183">
        <v>2026</v>
      </c>
      <c r="F183" t="s">
        <v>23</v>
      </c>
      <c r="G183" t="s">
        <v>24</v>
      </c>
      <c r="H183" t="s">
        <v>25</v>
      </c>
      <c r="I183" t="s">
        <v>172</v>
      </c>
      <c r="J183" t="s">
        <v>173</v>
      </c>
      <c r="K183" t="s">
        <v>28</v>
      </c>
      <c r="L183" t="s">
        <v>29</v>
      </c>
      <c r="M183" t="s">
        <v>30</v>
      </c>
      <c r="N183" t="s">
        <v>174</v>
      </c>
      <c r="O183" t="s">
        <v>175</v>
      </c>
      <c r="P183" t="s">
        <v>176</v>
      </c>
      <c r="Q183" t="s">
        <v>177</v>
      </c>
      <c r="R183" t="s">
        <v>594</v>
      </c>
      <c r="S183" t="s">
        <v>36</v>
      </c>
      <c r="T183" t="s">
        <v>179</v>
      </c>
      <c r="U183" t="s">
        <v>180</v>
      </c>
      <c r="V183" t="s">
        <v>181</v>
      </c>
      <c r="W183">
        <v>5</v>
      </c>
    </row>
    <row r="184" spans="1:23" x14ac:dyDescent="0.3">
      <c r="A184">
        <v>49304147</v>
      </c>
      <c r="B184" s="1">
        <v>46054</v>
      </c>
      <c r="C184">
        <v>1</v>
      </c>
      <c r="D184">
        <v>2</v>
      </c>
      <c r="E184">
        <v>2026</v>
      </c>
      <c r="F184" t="s">
        <v>23</v>
      </c>
      <c r="G184" t="s">
        <v>24</v>
      </c>
      <c r="H184" t="s">
        <v>25</v>
      </c>
      <c r="I184" t="s">
        <v>322</v>
      </c>
      <c r="J184" t="s">
        <v>323</v>
      </c>
      <c r="K184" t="s">
        <v>28</v>
      </c>
      <c r="L184" t="s">
        <v>29</v>
      </c>
      <c r="M184" t="s">
        <v>271</v>
      </c>
      <c r="N184" t="s">
        <v>272</v>
      </c>
      <c r="O184" t="s">
        <v>324</v>
      </c>
      <c r="P184" t="s">
        <v>325</v>
      </c>
      <c r="Q184" t="s">
        <v>326</v>
      </c>
      <c r="R184" t="s">
        <v>170</v>
      </c>
      <c r="S184" t="s">
        <v>63</v>
      </c>
      <c r="T184" t="s">
        <v>154</v>
      </c>
      <c r="U184" t="s">
        <v>155</v>
      </c>
      <c r="V184" t="s">
        <v>171</v>
      </c>
      <c r="W184">
        <v>0</v>
      </c>
    </row>
    <row r="185" spans="1:23" x14ac:dyDescent="0.3">
      <c r="A185">
        <v>49303281</v>
      </c>
      <c r="B185" s="1">
        <v>46053</v>
      </c>
      <c r="C185">
        <v>31</v>
      </c>
      <c r="D185">
        <v>1</v>
      </c>
      <c r="E185">
        <v>2026</v>
      </c>
      <c r="F185" t="s">
        <v>23</v>
      </c>
      <c r="G185" t="s">
        <v>24</v>
      </c>
      <c r="H185" t="s">
        <v>25</v>
      </c>
      <c r="I185" t="s">
        <v>258</v>
      </c>
      <c r="J185" t="s">
        <v>259</v>
      </c>
      <c r="K185" t="s">
        <v>28</v>
      </c>
      <c r="L185" t="s">
        <v>29</v>
      </c>
      <c r="M185" t="s">
        <v>30</v>
      </c>
      <c r="N185" t="s">
        <v>31</v>
      </c>
      <c r="O185" t="s">
        <v>32</v>
      </c>
      <c r="P185" t="s">
        <v>260</v>
      </c>
      <c r="Q185" t="s">
        <v>261</v>
      </c>
      <c r="R185" t="s">
        <v>595</v>
      </c>
      <c r="S185" t="s">
        <v>47</v>
      </c>
      <c r="T185" t="s">
        <v>120</v>
      </c>
      <c r="U185" t="s">
        <v>233</v>
      </c>
      <c r="V185" t="s">
        <v>361</v>
      </c>
      <c r="W185">
        <v>0</v>
      </c>
    </row>
    <row r="186" spans="1:23" x14ac:dyDescent="0.3">
      <c r="A186">
        <v>49889537</v>
      </c>
      <c r="B186" s="1">
        <v>46064</v>
      </c>
      <c r="C186">
        <v>11</v>
      </c>
      <c r="D186">
        <v>2</v>
      </c>
      <c r="E186">
        <v>2026</v>
      </c>
      <c r="F186" t="s">
        <v>23</v>
      </c>
      <c r="G186" t="s">
        <v>24</v>
      </c>
      <c r="H186" t="s">
        <v>25</v>
      </c>
      <c r="I186" t="s">
        <v>123</v>
      </c>
      <c r="J186" t="s">
        <v>124</v>
      </c>
      <c r="K186" t="s">
        <v>28</v>
      </c>
      <c r="L186" t="s">
        <v>29</v>
      </c>
      <c r="M186" t="s">
        <v>30</v>
      </c>
      <c r="N186" t="s">
        <v>31</v>
      </c>
      <c r="O186" t="s">
        <v>32</v>
      </c>
      <c r="P186" t="s">
        <v>125</v>
      </c>
      <c r="Q186" t="s">
        <v>126</v>
      </c>
      <c r="R186" t="s">
        <v>596</v>
      </c>
      <c r="S186" t="s">
        <v>63</v>
      </c>
      <c r="T186" t="s">
        <v>164</v>
      </c>
      <c r="U186" t="s">
        <v>165</v>
      </c>
      <c r="V186" t="s">
        <v>527</v>
      </c>
      <c r="W186">
        <v>5</v>
      </c>
    </row>
    <row r="187" spans="1:23" x14ac:dyDescent="0.3">
      <c r="A187">
        <v>49962484</v>
      </c>
      <c r="B187" s="1">
        <v>46065</v>
      </c>
      <c r="C187">
        <v>12</v>
      </c>
      <c r="D187">
        <v>2</v>
      </c>
      <c r="E187">
        <v>2026</v>
      </c>
      <c r="F187" t="s">
        <v>23</v>
      </c>
      <c r="G187" t="s">
        <v>24</v>
      </c>
      <c r="H187" t="s">
        <v>25</v>
      </c>
      <c r="I187" t="s">
        <v>26</v>
      </c>
      <c r="J187" t="s">
        <v>27</v>
      </c>
      <c r="K187" t="s">
        <v>28</v>
      </c>
      <c r="L187" t="s">
        <v>29</v>
      </c>
      <c r="M187" t="s">
        <v>30</v>
      </c>
      <c r="N187" t="s">
        <v>31</v>
      </c>
      <c r="O187" t="s">
        <v>32</v>
      </c>
      <c r="P187" t="s">
        <v>33</v>
      </c>
      <c r="Q187" t="s">
        <v>34</v>
      </c>
      <c r="R187" t="s">
        <v>572</v>
      </c>
      <c r="S187" t="s">
        <v>47</v>
      </c>
      <c r="T187" t="s">
        <v>48</v>
      </c>
      <c r="U187" t="s">
        <v>183</v>
      </c>
      <c r="V187" t="s">
        <v>184</v>
      </c>
      <c r="W187">
        <v>4</v>
      </c>
    </row>
    <row r="188" spans="1:23" x14ac:dyDescent="0.3">
      <c r="A188">
        <v>48665830</v>
      </c>
      <c r="B188" s="1">
        <v>46037</v>
      </c>
      <c r="C188">
        <v>15</v>
      </c>
      <c r="D188">
        <v>1</v>
      </c>
      <c r="E188">
        <v>2026</v>
      </c>
      <c r="F188" t="s">
        <v>23</v>
      </c>
      <c r="G188" t="s">
        <v>24</v>
      </c>
      <c r="H188" t="s">
        <v>25</v>
      </c>
      <c r="I188" t="s">
        <v>96</v>
      </c>
      <c r="J188" t="s">
        <v>97</v>
      </c>
      <c r="K188" t="s">
        <v>28</v>
      </c>
      <c r="L188" t="s">
        <v>29</v>
      </c>
      <c r="M188" t="s">
        <v>30</v>
      </c>
      <c r="N188" t="s">
        <v>31</v>
      </c>
      <c r="O188" t="s">
        <v>32</v>
      </c>
      <c r="P188" t="s">
        <v>98</v>
      </c>
      <c r="Q188" t="s">
        <v>99</v>
      </c>
      <c r="R188" t="s">
        <v>597</v>
      </c>
      <c r="S188" t="s">
        <v>47</v>
      </c>
      <c r="T188" t="s">
        <v>120</v>
      </c>
      <c r="U188" t="s">
        <v>121</v>
      </c>
      <c r="V188" t="s">
        <v>122</v>
      </c>
      <c r="W188">
        <v>6</v>
      </c>
    </row>
    <row r="189" spans="1:23" x14ac:dyDescent="0.3">
      <c r="A189">
        <v>49298830</v>
      </c>
      <c r="B189" s="1">
        <v>46053</v>
      </c>
      <c r="C189">
        <v>31</v>
      </c>
      <c r="D189">
        <v>1</v>
      </c>
      <c r="E189">
        <v>2026</v>
      </c>
      <c r="F189" t="s">
        <v>23</v>
      </c>
      <c r="G189" t="s">
        <v>24</v>
      </c>
      <c r="H189" t="s">
        <v>25</v>
      </c>
      <c r="I189" t="s">
        <v>420</v>
      </c>
      <c r="J189" t="s">
        <v>421</v>
      </c>
      <c r="K189" t="s">
        <v>28</v>
      </c>
      <c r="L189" t="s">
        <v>29</v>
      </c>
      <c r="M189" t="s">
        <v>30</v>
      </c>
      <c r="N189" t="s">
        <v>42</v>
      </c>
      <c r="O189" t="s">
        <v>43</v>
      </c>
      <c r="P189" t="s">
        <v>44</v>
      </c>
      <c r="Q189" t="s">
        <v>391</v>
      </c>
      <c r="R189" t="s">
        <v>598</v>
      </c>
      <c r="S189" t="s">
        <v>47</v>
      </c>
      <c r="T189" t="s">
        <v>120</v>
      </c>
      <c r="U189" t="s">
        <v>194</v>
      </c>
      <c r="V189" t="s">
        <v>195</v>
      </c>
      <c r="W189">
        <v>2</v>
      </c>
    </row>
    <row r="190" spans="1:23" x14ac:dyDescent="0.3">
      <c r="A190">
        <v>49514956</v>
      </c>
      <c r="B190" s="1">
        <v>46057</v>
      </c>
      <c r="C190">
        <v>4</v>
      </c>
      <c r="D190">
        <v>2</v>
      </c>
      <c r="E190">
        <v>2026</v>
      </c>
      <c r="F190" t="s">
        <v>23</v>
      </c>
      <c r="G190" t="s">
        <v>24</v>
      </c>
      <c r="H190" t="s">
        <v>25</v>
      </c>
      <c r="I190" t="s">
        <v>599</v>
      </c>
      <c r="J190" t="s">
        <v>600</v>
      </c>
      <c r="K190" t="s">
        <v>28</v>
      </c>
      <c r="L190" t="s">
        <v>29</v>
      </c>
      <c r="M190" t="s">
        <v>30</v>
      </c>
      <c r="N190" t="s">
        <v>31</v>
      </c>
      <c r="O190" t="s">
        <v>32</v>
      </c>
      <c r="P190" t="s">
        <v>601</v>
      </c>
      <c r="Q190" t="s">
        <v>602</v>
      </c>
      <c r="R190" t="s">
        <v>603</v>
      </c>
      <c r="S190" t="s">
        <v>36</v>
      </c>
      <c r="T190" t="s">
        <v>37</v>
      </c>
      <c r="U190" t="s">
        <v>38</v>
      </c>
      <c r="V190" t="s">
        <v>39</v>
      </c>
      <c r="W190">
        <v>7</v>
      </c>
    </row>
    <row r="191" spans="1:23" x14ac:dyDescent="0.3">
      <c r="A191">
        <v>49724524</v>
      </c>
      <c r="B191" s="1">
        <v>46057</v>
      </c>
      <c r="C191">
        <v>4</v>
      </c>
      <c r="D191">
        <v>2</v>
      </c>
      <c r="E191">
        <v>2026</v>
      </c>
      <c r="F191" t="s">
        <v>23</v>
      </c>
      <c r="G191" t="s">
        <v>24</v>
      </c>
      <c r="H191" t="s">
        <v>25</v>
      </c>
      <c r="I191" t="s">
        <v>123</v>
      </c>
      <c r="J191" t="s">
        <v>124</v>
      </c>
      <c r="K191" t="s">
        <v>28</v>
      </c>
      <c r="L191" t="s">
        <v>29</v>
      </c>
      <c r="M191" t="s">
        <v>30</v>
      </c>
      <c r="N191" t="s">
        <v>31</v>
      </c>
      <c r="O191" t="s">
        <v>32</v>
      </c>
      <c r="P191" t="s">
        <v>125</v>
      </c>
      <c r="Q191" t="s">
        <v>126</v>
      </c>
      <c r="R191" t="s">
        <v>604</v>
      </c>
      <c r="S191" t="s">
        <v>36</v>
      </c>
      <c r="T191" t="s">
        <v>37</v>
      </c>
      <c r="U191" t="s">
        <v>38</v>
      </c>
      <c r="V191" t="s">
        <v>39</v>
      </c>
      <c r="W191">
        <v>6</v>
      </c>
    </row>
    <row r="192" spans="1:23" x14ac:dyDescent="0.3">
      <c r="A192">
        <v>49303860</v>
      </c>
      <c r="B192" s="1">
        <v>46054</v>
      </c>
      <c r="C192">
        <v>1</v>
      </c>
      <c r="D192">
        <v>2</v>
      </c>
      <c r="E192">
        <v>2026</v>
      </c>
      <c r="F192" t="s">
        <v>23</v>
      </c>
      <c r="G192" t="s">
        <v>24</v>
      </c>
      <c r="H192" t="s">
        <v>25</v>
      </c>
      <c r="I192" t="s">
        <v>605</v>
      </c>
      <c r="J192" t="s">
        <v>606</v>
      </c>
      <c r="K192" t="s">
        <v>28</v>
      </c>
      <c r="L192" t="s">
        <v>29</v>
      </c>
      <c r="M192" t="s">
        <v>30</v>
      </c>
      <c r="N192" t="s">
        <v>31</v>
      </c>
      <c r="O192" t="s">
        <v>32</v>
      </c>
      <c r="P192" t="s">
        <v>607</v>
      </c>
      <c r="Q192" t="s">
        <v>608</v>
      </c>
      <c r="R192" t="s">
        <v>609</v>
      </c>
      <c r="S192" t="s">
        <v>63</v>
      </c>
      <c r="T192" t="s">
        <v>154</v>
      </c>
      <c r="U192" t="s">
        <v>155</v>
      </c>
      <c r="V192" t="s">
        <v>156</v>
      </c>
      <c r="W192">
        <v>2</v>
      </c>
    </row>
    <row r="193" spans="1:23" x14ac:dyDescent="0.3">
      <c r="A193">
        <v>48665829</v>
      </c>
      <c r="B193" s="1">
        <v>46037</v>
      </c>
      <c r="C193">
        <v>15</v>
      </c>
      <c r="D193">
        <v>1</v>
      </c>
      <c r="E193">
        <v>2026</v>
      </c>
      <c r="F193" t="s">
        <v>23</v>
      </c>
      <c r="G193" t="s">
        <v>24</v>
      </c>
      <c r="H193" t="s">
        <v>25</v>
      </c>
      <c r="I193" t="s">
        <v>471</v>
      </c>
      <c r="J193" t="s">
        <v>472</v>
      </c>
      <c r="K193" t="s">
        <v>28</v>
      </c>
      <c r="L193" t="s">
        <v>29</v>
      </c>
      <c r="M193" t="s">
        <v>30</v>
      </c>
      <c r="N193" t="s">
        <v>42</v>
      </c>
      <c r="O193" t="s">
        <v>43</v>
      </c>
      <c r="P193" t="s">
        <v>44</v>
      </c>
      <c r="Q193" t="s">
        <v>391</v>
      </c>
      <c r="R193" t="s">
        <v>610</v>
      </c>
      <c r="S193" t="s">
        <v>47</v>
      </c>
      <c r="T193" t="s">
        <v>120</v>
      </c>
      <c r="U193" t="s">
        <v>121</v>
      </c>
      <c r="V193" t="s">
        <v>122</v>
      </c>
      <c r="W193">
        <v>1</v>
      </c>
    </row>
    <row r="194" spans="1:23" x14ac:dyDescent="0.3">
      <c r="A194">
        <v>49888482</v>
      </c>
      <c r="B194" s="1">
        <v>46064</v>
      </c>
      <c r="C194">
        <v>11</v>
      </c>
      <c r="D194">
        <v>2</v>
      </c>
      <c r="E194">
        <v>2026</v>
      </c>
      <c r="F194" t="s">
        <v>23</v>
      </c>
      <c r="G194" t="s">
        <v>24</v>
      </c>
      <c r="H194" t="s">
        <v>25</v>
      </c>
      <c r="I194" t="s">
        <v>150</v>
      </c>
      <c r="J194" t="s">
        <v>151</v>
      </c>
      <c r="K194" t="s">
        <v>28</v>
      </c>
      <c r="L194" t="s">
        <v>29</v>
      </c>
      <c r="M194" t="s">
        <v>30</v>
      </c>
      <c r="N194" t="s">
        <v>31</v>
      </c>
      <c r="O194" t="s">
        <v>32</v>
      </c>
      <c r="P194" t="s">
        <v>125</v>
      </c>
      <c r="Q194" t="s">
        <v>152</v>
      </c>
      <c r="R194" t="s">
        <v>611</v>
      </c>
      <c r="S194" t="s">
        <v>47</v>
      </c>
      <c r="T194" t="s">
        <v>113</v>
      </c>
      <c r="U194" t="s">
        <v>475</v>
      </c>
      <c r="V194" t="s">
        <v>476</v>
      </c>
      <c r="W194">
        <v>0</v>
      </c>
    </row>
    <row r="195" spans="1:23" x14ac:dyDescent="0.3">
      <c r="A195">
        <v>49395896</v>
      </c>
      <c r="B195" s="1">
        <v>46055</v>
      </c>
      <c r="C195">
        <v>2</v>
      </c>
      <c r="D195">
        <v>2</v>
      </c>
      <c r="E195">
        <v>2026</v>
      </c>
      <c r="F195" t="s">
        <v>23</v>
      </c>
      <c r="G195" t="s">
        <v>24</v>
      </c>
      <c r="H195" t="s">
        <v>25</v>
      </c>
      <c r="I195" t="s">
        <v>413</v>
      </c>
      <c r="J195" t="s">
        <v>414</v>
      </c>
      <c r="K195" t="s">
        <v>28</v>
      </c>
      <c r="L195" t="s">
        <v>29</v>
      </c>
      <c r="M195" t="s">
        <v>30</v>
      </c>
      <c r="N195" t="s">
        <v>31</v>
      </c>
      <c r="O195" t="s">
        <v>415</v>
      </c>
      <c r="P195" t="s">
        <v>416</v>
      </c>
      <c r="Q195" t="s">
        <v>417</v>
      </c>
      <c r="R195" t="s">
        <v>473</v>
      </c>
      <c r="S195" t="s">
        <v>47</v>
      </c>
      <c r="T195" t="s">
        <v>101</v>
      </c>
      <c r="U195" t="s">
        <v>102</v>
      </c>
      <c r="V195" t="s">
        <v>103</v>
      </c>
      <c r="W195">
        <v>0</v>
      </c>
    </row>
    <row r="196" spans="1:23" x14ac:dyDescent="0.3">
      <c r="A196">
        <v>49303288</v>
      </c>
      <c r="B196" s="1">
        <v>46053</v>
      </c>
      <c r="C196">
        <v>31</v>
      </c>
      <c r="D196">
        <v>1</v>
      </c>
      <c r="E196">
        <v>2026</v>
      </c>
      <c r="F196" t="s">
        <v>23</v>
      </c>
      <c r="G196" t="s">
        <v>24</v>
      </c>
      <c r="H196" t="s">
        <v>25</v>
      </c>
      <c r="I196" t="s">
        <v>358</v>
      </c>
      <c r="J196" t="s">
        <v>359</v>
      </c>
      <c r="K196" t="s">
        <v>28</v>
      </c>
      <c r="L196" t="s">
        <v>29</v>
      </c>
      <c r="M196" t="s">
        <v>30</v>
      </c>
      <c r="N196" t="s">
        <v>174</v>
      </c>
      <c r="O196" t="s">
        <v>175</v>
      </c>
      <c r="P196" t="s">
        <v>176</v>
      </c>
      <c r="Q196" t="s">
        <v>177</v>
      </c>
      <c r="R196" t="s">
        <v>612</v>
      </c>
      <c r="S196" t="s">
        <v>36</v>
      </c>
      <c r="T196" t="s">
        <v>179</v>
      </c>
      <c r="U196" t="s">
        <v>180</v>
      </c>
      <c r="V196" t="s">
        <v>181</v>
      </c>
      <c r="W196">
        <v>5</v>
      </c>
    </row>
    <row r="197" spans="1:23" x14ac:dyDescent="0.3">
      <c r="A197">
        <v>49512992</v>
      </c>
      <c r="B197" s="1">
        <v>46057</v>
      </c>
      <c r="C197">
        <v>4</v>
      </c>
      <c r="D197">
        <v>2</v>
      </c>
      <c r="E197">
        <v>2026</v>
      </c>
      <c r="F197" t="s">
        <v>23</v>
      </c>
      <c r="G197" t="s">
        <v>24</v>
      </c>
      <c r="H197" t="s">
        <v>25</v>
      </c>
      <c r="I197" t="s">
        <v>518</v>
      </c>
      <c r="J197" t="s">
        <v>519</v>
      </c>
      <c r="K197" t="s">
        <v>28</v>
      </c>
      <c r="L197" t="s">
        <v>29</v>
      </c>
      <c r="M197" t="s">
        <v>271</v>
      </c>
      <c r="N197" t="s">
        <v>520</v>
      </c>
      <c r="O197" t="s">
        <v>521</v>
      </c>
      <c r="P197" t="s">
        <v>522</v>
      </c>
      <c r="Q197" t="s">
        <v>523</v>
      </c>
      <c r="R197" t="s">
        <v>613</v>
      </c>
      <c r="S197" t="s">
        <v>63</v>
      </c>
      <c r="T197" t="s">
        <v>164</v>
      </c>
      <c r="U197" t="s">
        <v>197</v>
      </c>
      <c r="V197" t="s">
        <v>229</v>
      </c>
      <c r="W197">
        <v>0</v>
      </c>
    </row>
    <row r="198" spans="1:23" x14ac:dyDescent="0.3">
      <c r="A198">
        <v>49249976</v>
      </c>
      <c r="B198" s="1">
        <v>46051</v>
      </c>
      <c r="C198">
        <v>29</v>
      </c>
      <c r="D198">
        <v>1</v>
      </c>
      <c r="E198">
        <v>2026</v>
      </c>
      <c r="F198" t="s">
        <v>23</v>
      </c>
      <c r="G198" t="s">
        <v>24</v>
      </c>
      <c r="H198" t="s">
        <v>25</v>
      </c>
      <c r="I198" t="s">
        <v>224</v>
      </c>
      <c r="J198" t="s">
        <v>225</v>
      </c>
      <c r="K198" t="s">
        <v>28</v>
      </c>
      <c r="L198" t="s">
        <v>29</v>
      </c>
      <c r="M198" t="s">
        <v>30</v>
      </c>
      <c r="N198" t="s">
        <v>31</v>
      </c>
      <c r="O198" t="s">
        <v>132</v>
      </c>
      <c r="P198" t="s">
        <v>226</v>
      </c>
      <c r="Q198" t="s">
        <v>227</v>
      </c>
      <c r="R198" t="s">
        <v>588</v>
      </c>
      <c r="S198" t="s">
        <v>63</v>
      </c>
      <c r="T198" t="s">
        <v>164</v>
      </c>
      <c r="U198" t="s">
        <v>197</v>
      </c>
      <c r="V198" t="s">
        <v>229</v>
      </c>
      <c r="W198">
        <v>9</v>
      </c>
    </row>
    <row r="199" spans="1:23" x14ac:dyDescent="0.3">
      <c r="A199">
        <v>49397348</v>
      </c>
      <c r="B199" s="1">
        <v>46056</v>
      </c>
      <c r="C199">
        <v>3</v>
      </c>
      <c r="D199">
        <v>2</v>
      </c>
      <c r="E199">
        <v>2026</v>
      </c>
      <c r="F199" t="s">
        <v>23</v>
      </c>
      <c r="G199" t="s">
        <v>24</v>
      </c>
      <c r="H199" t="s">
        <v>25</v>
      </c>
      <c r="I199" t="s">
        <v>40</v>
      </c>
      <c r="J199" t="s">
        <v>41</v>
      </c>
      <c r="K199" t="s">
        <v>28</v>
      </c>
      <c r="L199" t="s">
        <v>29</v>
      </c>
      <c r="M199" t="s">
        <v>30</v>
      </c>
      <c r="N199" t="s">
        <v>42</v>
      </c>
      <c r="O199" t="s">
        <v>43</v>
      </c>
      <c r="P199" t="s">
        <v>44</v>
      </c>
      <c r="Q199" t="s">
        <v>45</v>
      </c>
      <c r="R199" t="s">
        <v>614</v>
      </c>
      <c r="S199" t="s">
        <v>47</v>
      </c>
      <c r="T199" t="s">
        <v>79</v>
      </c>
      <c r="U199" t="s">
        <v>80</v>
      </c>
      <c r="V199" t="s">
        <v>81</v>
      </c>
      <c r="W199">
        <v>6</v>
      </c>
    </row>
    <row r="200" spans="1:23" x14ac:dyDescent="0.3">
      <c r="A200">
        <v>49303865</v>
      </c>
      <c r="B200" s="1">
        <v>46054</v>
      </c>
      <c r="C200">
        <v>1</v>
      </c>
      <c r="D200">
        <v>2</v>
      </c>
      <c r="E200">
        <v>2026</v>
      </c>
      <c r="F200" t="s">
        <v>23</v>
      </c>
      <c r="G200" t="s">
        <v>24</v>
      </c>
      <c r="H200" t="s">
        <v>25</v>
      </c>
      <c r="I200" t="s">
        <v>158</v>
      </c>
      <c r="J200" t="s">
        <v>159</v>
      </c>
      <c r="K200" t="s">
        <v>28</v>
      </c>
      <c r="L200" t="s">
        <v>29</v>
      </c>
      <c r="M200" t="s">
        <v>30</v>
      </c>
      <c r="N200" t="s">
        <v>31</v>
      </c>
      <c r="O200" t="s">
        <v>160</v>
      </c>
      <c r="P200" t="s">
        <v>161</v>
      </c>
      <c r="Q200" t="s">
        <v>162</v>
      </c>
      <c r="R200" t="s">
        <v>615</v>
      </c>
      <c r="S200" t="s">
        <v>63</v>
      </c>
      <c r="T200" t="s">
        <v>154</v>
      </c>
      <c r="U200" t="s">
        <v>155</v>
      </c>
      <c r="V200" t="s">
        <v>156</v>
      </c>
      <c r="W200">
        <v>5</v>
      </c>
    </row>
    <row r="201" spans="1:23" x14ac:dyDescent="0.3">
      <c r="A201">
        <v>48615939</v>
      </c>
      <c r="B201" s="1">
        <v>46030</v>
      </c>
      <c r="C201">
        <v>8</v>
      </c>
      <c r="D201">
        <v>1</v>
      </c>
      <c r="E201">
        <v>2026</v>
      </c>
      <c r="F201" t="s">
        <v>23</v>
      </c>
      <c r="G201" t="s">
        <v>24</v>
      </c>
      <c r="H201" t="s">
        <v>25</v>
      </c>
      <c r="I201" t="s">
        <v>327</v>
      </c>
      <c r="J201" t="s">
        <v>328</v>
      </c>
      <c r="K201" t="s">
        <v>28</v>
      </c>
      <c r="L201" t="s">
        <v>29</v>
      </c>
      <c r="M201" t="s">
        <v>30</v>
      </c>
      <c r="N201" t="s">
        <v>174</v>
      </c>
      <c r="O201" t="s">
        <v>175</v>
      </c>
      <c r="P201" t="s">
        <v>176</v>
      </c>
      <c r="Q201" t="s">
        <v>177</v>
      </c>
      <c r="R201" t="s">
        <v>616</v>
      </c>
      <c r="S201" t="s">
        <v>36</v>
      </c>
      <c r="T201" t="s">
        <v>179</v>
      </c>
      <c r="U201" t="s">
        <v>617</v>
      </c>
      <c r="V201" t="s">
        <v>616</v>
      </c>
      <c r="W201">
        <v>1</v>
      </c>
    </row>
    <row r="202" spans="1:23" x14ac:dyDescent="0.3">
      <c r="A202">
        <v>49297867</v>
      </c>
      <c r="B202" s="1">
        <v>46053</v>
      </c>
      <c r="C202">
        <v>31</v>
      </c>
      <c r="D202">
        <v>1</v>
      </c>
      <c r="E202">
        <v>2026</v>
      </c>
      <c r="F202" t="s">
        <v>51</v>
      </c>
      <c r="G202" t="s">
        <v>52</v>
      </c>
      <c r="H202" t="s">
        <v>53</v>
      </c>
      <c r="I202" t="s">
        <v>206</v>
      </c>
      <c r="J202" t="s">
        <v>207</v>
      </c>
      <c r="K202" t="s">
        <v>28</v>
      </c>
      <c r="L202" t="s">
        <v>56</v>
      </c>
      <c r="M202" t="s">
        <v>57</v>
      </c>
      <c r="N202" t="s">
        <v>58</v>
      </c>
      <c r="O202" t="s">
        <v>59</v>
      </c>
      <c r="P202" t="s">
        <v>60</v>
      </c>
      <c r="Q202" t="s">
        <v>208</v>
      </c>
      <c r="R202" t="s">
        <v>209</v>
      </c>
      <c r="S202" t="s">
        <v>47</v>
      </c>
      <c r="T202" t="s">
        <v>210</v>
      </c>
      <c r="U202" t="s">
        <v>211</v>
      </c>
      <c r="V202" t="s">
        <v>212</v>
      </c>
      <c r="W202">
        <v>0</v>
      </c>
    </row>
    <row r="203" spans="1:23" x14ac:dyDescent="0.3">
      <c r="A203">
        <v>48712952</v>
      </c>
      <c r="B203" s="1">
        <v>46038</v>
      </c>
      <c r="C203">
        <v>16</v>
      </c>
      <c r="D203">
        <v>1</v>
      </c>
      <c r="E203">
        <v>2026</v>
      </c>
      <c r="F203" t="s">
        <v>23</v>
      </c>
      <c r="G203" t="s">
        <v>24</v>
      </c>
      <c r="H203" t="s">
        <v>25</v>
      </c>
      <c r="I203" t="s">
        <v>618</v>
      </c>
      <c r="J203" t="s">
        <v>619</v>
      </c>
      <c r="K203" t="s">
        <v>28</v>
      </c>
      <c r="L203" t="s">
        <v>29</v>
      </c>
      <c r="M203" t="s">
        <v>271</v>
      </c>
      <c r="N203" t="s">
        <v>272</v>
      </c>
      <c r="O203" t="s">
        <v>559</v>
      </c>
      <c r="P203" t="s">
        <v>620</v>
      </c>
      <c r="Q203" t="s">
        <v>621</v>
      </c>
      <c r="R203" t="s">
        <v>450</v>
      </c>
      <c r="S203" t="s">
        <v>36</v>
      </c>
      <c r="T203" t="s">
        <v>451</v>
      </c>
      <c r="U203" t="s">
        <v>452</v>
      </c>
      <c r="V203" t="s">
        <v>453</v>
      </c>
      <c r="W203">
        <v>8</v>
      </c>
    </row>
    <row r="204" spans="1:23" x14ac:dyDescent="0.3">
      <c r="A204">
        <v>48736072</v>
      </c>
      <c r="B204" s="1">
        <v>46043</v>
      </c>
      <c r="C204">
        <v>21</v>
      </c>
      <c r="D204">
        <v>1</v>
      </c>
      <c r="E204">
        <v>2026</v>
      </c>
      <c r="F204" t="s">
        <v>23</v>
      </c>
      <c r="G204" t="s">
        <v>24</v>
      </c>
      <c r="H204" t="s">
        <v>25</v>
      </c>
      <c r="I204" t="s">
        <v>514</v>
      </c>
      <c r="J204" t="s">
        <v>515</v>
      </c>
      <c r="K204" t="s">
        <v>28</v>
      </c>
      <c r="L204" t="s">
        <v>29</v>
      </c>
      <c r="M204" t="s">
        <v>30</v>
      </c>
      <c r="N204" t="s">
        <v>31</v>
      </c>
      <c r="O204" t="s">
        <v>132</v>
      </c>
      <c r="P204" t="s">
        <v>133</v>
      </c>
      <c r="Q204" t="s">
        <v>516</v>
      </c>
      <c r="R204" t="s">
        <v>622</v>
      </c>
      <c r="S204" t="s">
        <v>47</v>
      </c>
      <c r="T204" t="s">
        <v>113</v>
      </c>
      <c r="U204" t="s">
        <v>623</v>
      </c>
      <c r="V204" t="s">
        <v>624</v>
      </c>
      <c r="W204">
        <v>9</v>
      </c>
    </row>
    <row r="205" spans="1:23" x14ac:dyDescent="0.3">
      <c r="A205">
        <v>49030077</v>
      </c>
      <c r="B205" s="1">
        <v>46044</v>
      </c>
      <c r="C205">
        <v>22</v>
      </c>
      <c r="D205">
        <v>1</v>
      </c>
      <c r="E205">
        <v>2026</v>
      </c>
      <c r="F205" t="s">
        <v>23</v>
      </c>
      <c r="G205" t="s">
        <v>24</v>
      </c>
      <c r="H205" t="s">
        <v>25</v>
      </c>
      <c r="I205" t="s">
        <v>150</v>
      </c>
      <c r="J205" t="s">
        <v>151</v>
      </c>
      <c r="K205" t="s">
        <v>28</v>
      </c>
      <c r="L205" t="s">
        <v>29</v>
      </c>
      <c r="M205" t="s">
        <v>30</v>
      </c>
      <c r="N205" t="s">
        <v>31</v>
      </c>
      <c r="O205" t="s">
        <v>32</v>
      </c>
      <c r="P205" t="s">
        <v>125</v>
      </c>
      <c r="Q205" t="s">
        <v>152</v>
      </c>
      <c r="R205" t="s">
        <v>625</v>
      </c>
      <c r="S205" t="s">
        <v>47</v>
      </c>
      <c r="T205" t="s">
        <v>48</v>
      </c>
      <c r="U205" t="s">
        <v>49</v>
      </c>
      <c r="V205" t="s">
        <v>50</v>
      </c>
      <c r="W205">
        <v>0</v>
      </c>
    </row>
    <row r="206" spans="1:23" x14ac:dyDescent="0.3">
      <c r="A206">
        <v>49304160</v>
      </c>
      <c r="B206" s="1">
        <v>46054</v>
      </c>
      <c r="C206">
        <v>1</v>
      </c>
      <c r="D206">
        <v>2</v>
      </c>
      <c r="E206">
        <v>2026</v>
      </c>
      <c r="F206" t="s">
        <v>23</v>
      </c>
      <c r="G206" t="s">
        <v>24</v>
      </c>
      <c r="H206" t="s">
        <v>25</v>
      </c>
      <c r="I206" t="s">
        <v>346</v>
      </c>
      <c r="J206" t="s">
        <v>347</v>
      </c>
      <c r="K206" t="s">
        <v>28</v>
      </c>
      <c r="L206" t="s">
        <v>29</v>
      </c>
      <c r="M206" t="s">
        <v>30</v>
      </c>
      <c r="N206" t="s">
        <v>31</v>
      </c>
      <c r="O206" t="s">
        <v>138</v>
      </c>
      <c r="P206" t="s">
        <v>348</v>
      </c>
      <c r="Q206" t="s">
        <v>349</v>
      </c>
      <c r="R206" t="s">
        <v>71</v>
      </c>
      <c r="S206" t="s">
        <v>63</v>
      </c>
      <c r="T206" t="s">
        <v>72</v>
      </c>
      <c r="U206" t="s">
        <v>73</v>
      </c>
      <c r="V206" t="s">
        <v>74</v>
      </c>
      <c r="W206">
        <v>5</v>
      </c>
    </row>
    <row r="207" spans="1:23" x14ac:dyDescent="0.3">
      <c r="A207">
        <v>49298511</v>
      </c>
      <c r="B207" s="1">
        <v>46053</v>
      </c>
      <c r="C207">
        <v>31</v>
      </c>
      <c r="D207">
        <v>1</v>
      </c>
      <c r="E207">
        <v>2026</v>
      </c>
      <c r="F207" t="s">
        <v>23</v>
      </c>
      <c r="G207" t="s">
        <v>24</v>
      </c>
      <c r="H207" t="s">
        <v>25</v>
      </c>
      <c r="I207" t="s">
        <v>26</v>
      </c>
      <c r="J207" t="s">
        <v>27</v>
      </c>
      <c r="K207" t="s">
        <v>28</v>
      </c>
      <c r="L207" t="s">
        <v>29</v>
      </c>
      <c r="M207" t="s">
        <v>30</v>
      </c>
      <c r="N207" t="s">
        <v>31</v>
      </c>
      <c r="O207" t="s">
        <v>32</v>
      </c>
      <c r="P207" t="s">
        <v>33</v>
      </c>
      <c r="Q207" t="s">
        <v>34</v>
      </c>
      <c r="R207" t="s">
        <v>626</v>
      </c>
      <c r="S207" t="s">
        <v>47</v>
      </c>
      <c r="T207" t="s">
        <v>120</v>
      </c>
      <c r="U207" t="s">
        <v>194</v>
      </c>
      <c r="V207" t="s">
        <v>223</v>
      </c>
      <c r="W207">
        <v>2</v>
      </c>
    </row>
    <row r="208" spans="1:23" x14ac:dyDescent="0.3">
      <c r="A208">
        <v>49245962</v>
      </c>
      <c r="B208" s="1">
        <v>46052</v>
      </c>
      <c r="C208">
        <v>30</v>
      </c>
      <c r="D208">
        <v>1</v>
      </c>
      <c r="E208">
        <v>2026</v>
      </c>
      <c r="F208" t="s">
        <v>23</v>
      </c>
      <c r="G208" t="s">
        <v>24</v>
      </c>
      <c r="H208" t="s">
        <v>25</v>
      </c>
      <c r="I208" t="s">
        <v>422</v>
      </c>
      <c r="J208" t="s">
        <v>423</v>
      </c>
      <c r="K208" t="s">
        <v>28</v>
      </c>
      <c r="L208" t="s">
        <v>29</v>
      </c>
      <c r="M208" t="s">
        <v>30</v>
      </c>
      <c r="N208" t="s">
        <v>31</v>
      </c>
      <c r="O208" t="s">
        <v>424</v>
      </c>
      <c r="P208" t="s">
        <v>425</v>
      </c>
      <c r="Q208" t="s">
        <v>426</v>
      </c>
      <c r="R208" t="s">
        <v>627</v>
      </c>
      <c r="S208" t="s">
        <v>63</v>
      </c>
      <c r="T208" t="s">
        <v>164</v>
      </c>
      <c r="U208" t="s">
        <v>165</v>
      </c>
      <c r="V208" t="s">
        <v>628</v>
      </c>
      <c r="W208">
        <v>5</v>
      </c>
    </row>
    <row r="209" spans="1:23" x14ac:dyDescent="0.3">
      <c r="A209">
        <v>49395892</v>
      </c>
      <c r="B209" s="1">
        <v>46054</v>
      </c>
      <c r="C209">
        <v>1</v>
      </c>
      <c r="D209">
        <v>2</v>
      </c>
      <c r="E209">
        <v>2026</v>
      </c>
      <c r="F209" t="s">
        <v>23</v>
      </c>
      <c r="G209" t="s">
        <v>24</v>
      </c>
      <c r="H209" t="s">
        <v>25</v>
      </c>
      <c r="I209" t="s">
        <v>485</v>
      </c>
      <c r="J209" t="s">
        <v>486</v>
      </c>
      <c r="K209" t="s">
        <v>28</v>
      </c>
      <c r="L209" t="s">
        <v>29</v>
      </c>
      <c r="M209" t="s">
        <v>30</v>
      </c>
      <c r="N209" t="s">
        <v>31</v>
      </c>
      <c r="O209" t="s">
        <v>32</v>
      </c>
      <c r="P209" t="s">
        <v>125</v>
      </c>
      <c r="Q209" t="s">
        <v>487</v>
      </c>
      <c r="R209" t="s">
        <v>629</v>
      </c>
      <c r="S209" t="s">
        <v>47</v>
      </c>
      <c r="T209" t="s">
        <v>101</v>
      </c>
      <c r="U209" t="s">
        <v>128</v>
      </c>
      <c r="V209" t="s">
        <v>129</v>
      </c>
      <c r="W209">
        <v>4</v>
      </c>
    </row>
    <row r="210" spans="1:23" x14ac:dyDescent="0.3">
      <c r="A210">
        <v>48615951</v>
      </c>
      <c r="B210" s="1">
        <v>46030</v>
      </c>
      <c r="C210">
        <v>8</v>
      </c>
      <c r="D210">
        <v>1</v>
      </c>
      <c r="E210">
        <v>2026</v>
      </c>
      <c r="F210" t="s">
        <v>23</v>
      </c>
      <c r="G210" t="s">
        <v>24</v>
      </c>
      <c r="H210" t="s">
        <v>25</v>
      </c>
      <c r="I210" t="s">
        <v>144</v>
      </c>
      <c r="J210" t="s">
        <v>145</v>
      </c>
      <c r="K210" t="s">
        <v>28</v>
      </c>
      <c r="L210" t="s">
        <v>29</v>
      </c>
      <c r="M210" t="s">
        <v>30</v>
      </c>
      <c r="N210" t="s">
        <v>31</v>
      </c>
      <c r="O210" t="s">
        <v>32</v>
      </c>
      <c r="P210" t="s">
        <v>33</v>
      </c>
      <c r="Q210" t="s">
        <v>146</v>
      </c>
      <c r="R210" t="s">
        <v>630</v>
      </c>
      <c r="S210" t="s">
        <v>36</v>
      </c>
      <c r="T210" t="s">
        <v>179</v>
      </c>
      <c r="U210" t="s">
        <v>617</v>
      </c>
      <c r="V210" t="s">
        <v>630</v>
      </c>
      <c r="W210">
        <v>6</v>
      </c>
    </row>
    <row r="211" spans="1:23" x14ac:dyDescent="0.3">
      <c r="A211">
        <v>49961922</v>
      </c>
      <c r="B211" s="1">
        <v>46065</v>
      </c>
      <c r="C211">
        <v>12</v>
      </c>
      <c r="D211">
        <v>2</v>
      </c>
      <c r="E211">
        <v>2026</v>
      </c>
      <c r="F211" t="s">
        <v>23</v>
      </c>
      <c r="G211" t="s">
        <v>24</v>
      </c>
      <c r="H211" t="s">
        <v>25</v>
      </c>
      <c r="I211" t="s">
        <v>422</v>
      </c>
      <c r="J211" t="s">
        <v>423</v>
      </c>
      <c r="K211" t="s">
        <v>28</v>
      </c>
      <c r="L211" t="s">
        <v>29</v>
      </c>
      <c r="M211" t="s">
        <v>30</v>
      </c>
      <c r="N211" t="s">
        <v>31</v>
      </c>
      <c r="O211" t="s">
        <v>424</v>
      </c>
      <c r="P211" t="s">
        <v>425</v>
      </c>
      <c r="Q211" t="s">
        <v>426</v>
      </c>
      <c r="R211" t="s">
        <v>196</v>
      </c>
      <c r="S211" t="s">
        <v>63</v>
      </c>
      <c r="T211" t="s">
        <v>164</v>
      </c>
      <c r="U211" t="s">
        <v>197</v>
      </c>
      <c r="V211" t="s">
        <v>198</v>
      </c>
      <c r="W211">
        <v>9</v>
      </c>
    </row>
    <row r="212" spans="1:23" x14ac:dyDescent="0.3">
      <c r="A212">
        <v>49303226</v>
      </c>
      <c r="B212" s="1">
        <v>46053</v>
      </c>
      <c r="C212">
        <v>31</v>
      </c>
      <c r="D212">
        <v>1</v>
      </c>
      <c r="E212">
        <v>2026</v>
      </c>
      <c r="F212" t="s">
        <v>23</v>
      </c>
      <c r="G212" t="s">
        <v>24</v>
      </c>
      <c r="H212" t="s">
        <v>25</v>
      </c>
      <c r="I212" t="s">
        <v>631</v>
      </c>
      <c r="J212" t="s">
        <v>632</v>
      </c>
      <c r="K212" t="s">
        <v>28</v>
      </c>
      <c r="L212" t="s">
        <v>29</v>
      </c>
      <c r="M212" t="s">
        <v>30</v>
      </c>
      <c r="N212" t="s">
        <v>174</v>
      </c>
      <c r="O212" t="s">
        <v>175</v>
      </c>
      <c r="P212" t="s">
        <v>176</v>
      </c>
      <c r="Q212" t="s">
        <v>177</v>
      </c>
      <c r="R212" t="s">
        <v>633</v>
      </c>
      <c r="S212" t="s">
        <v>47</v>
      </c>
      <c r="T212" t="s">
        <v>120</v>
      </c>
      <c r="U212" t="s">
        <v>233</v>
      </c>
      <c r="V212" t="s">
        <v>234</v>
      </c>
      <c r="W212">
        <v>0</v>
      </c>
    </row>
    <row r="213" spans="1:23" x14ac:dyDescent="0.3">
      <c r="A213">
        <v>49395887</v>
      </c>
      <c r="B213" s="1">
        <v>46054</v>
      </c>
      <c r="C213">
        <v>1</v>
      </c>
      <c r="D213">
        <v>2</v>
      </c>
      <c r="E213">
        <v>2026</v>
      </c>
      <c r="F213" t="s">
        <v>23</v>
      </c>
      <c r="G213" t="s">
        <v>24</v>
      </c>
      <c r="H213" t="s">
        <v>25</v>
      </c>
      <c r="I213" t="s">
        <v>150</v>
      </c>
      <c r="J213" t="s">
        <v>151</v>
      </c>
      <c r="K213" t="s">
        <v>28</v>
      </c>
      <c r="L213" t="s">
        <v>29</v>
      </c>
      <c r="M213" t="s">
        <v>30</v>
      </c>
      <c r="N213" t="s">
        <v>31</v>
      </c>
      <c r="O213" t="s">
        <v>32</v>
      </c>
      <c r="P213" t="s">
        <v>125</v>
      </c>
      <c r="Q213" t="s">
        <v>152</v>
      </c>
      <c r="R213" t="s">
        <v>402</v>
      </c>
      <c r="S213" t="s">
        <v>63</v>
      </c>
      <c r="T213" t="s">
        <v>164</v>
      </c>
      <c r="U213" t="s">
        <v>402</v>
      </c>
      <c r="W213">
        <v>2</v>
      </c>
    </row>
    <row r="214" spans="1:23" x14ac:dyDescent="0.3">
      <c r="A214">
        <v>49962498</v>
      </c>
      <c r="B214" s="1">
        <v>46065</v>
      </c>
      <c r="C214">
        <v>12</v>
      </c>
      <c r="D214">
        <v>2</v>
      </c>
      <c r="E214">
        <v>2026</v>
      </c>
      <c r="F214" t="s">
        <v>286</v>
      </c>
      <c r="G214" t="s">
        <v>52</v>
      </c>
      <c r="H214" t="s">
        <v>53</v>
      </c>
      <c r="I214" t="s">
        <v>287</v>
      </c>
      <c r="J214" t="s">
        <v>288</v>
      </c>
      <c r="K214" t="s">
        <v>28</v>
      </c>
      <c r="L214" t="s">
        <v>56</v>
      </c>
      <c r="M214" t="s">
        <v>57</v>
      </c>
      <c r="N214" t="s">
        <v>58</v>
      </c>
      <c r="O214" t="s">
        <v>289</v>
      </c>
      <c r="P214" t="s">
        <v>290</v>
      </c>
      <c r="Q214" t="s">
        <v>291</v>
      </c>
      <c r="R214" t="s">
        <v>467</v>
      </c>
      <c r="S214" t="s">
        <v>47</v>
      </c>
      <c r="T214" t="s">
        <v>468</v>
      </c>
      <c r="U214" t="s">
        <v>469</v>
      </c>
      <c r="V214" t="s">
        <v>470</v>
      </c>
      <c r="W214">
        <v>5</v>
      </c>
    </row>
    <row r="215" spans="1:23" x14ac:dyDescent="0.3">
      <c r="A215">
        <v>49512905</v>
      </c>
      <c r="B215" s="1">
        <v>46057</v>
      </c>
      <c r="C215">
        <v>4</v>
      </c>
      <c r="D215">
        <v>2</v>
      </c>
      <c r="E215">
        <v>2026</v>
      </c>
      <c r="F215" t="s">
        <v>23</v>
      </c>
      <c r="G215" t="s">
        <v>24</v>
      </c>
      <c r="H215" t="s">
        <v>25</v>
      </c>
      <c r="I215" t="s">
        <v>40</v>
      </c>
      <c r="J215" t="s">
        <v>41</v>
      </c>
      <c r="K215" t="s">
        <v>28</v>
      </c>
      <c r="L215" t="s">
        <v>29</v>
      </c>
      <c r="M215" t="s">
        <v>30</v>
      </c>
      <c r="N215" t="s">
        <v>42</v>
      </c>
      <c r="O215" t="s">
        <v>43</v>
      </c>
      <c r="P215" t="s">
        <v>44</v>
      </c>
      <c r="Q215" t="s">
        <v>45</v>
      </c>
      <c r="R215" t="s">
        <v>634</v>
      </c>
      <c r="S215" t="s">
        <v>36</v>
      </c>
      <c r="T215" t="s">
        <v>37</v>
      </c>
      <c r="U215" t="s">
        <v>38</v>
      </c>
      <c r="V215" t="s">
        <v>39</v>
      </c>
      <c r="W215">
        <v>7</v>
      </c>
    </row>
    <row r="216" spans="1:23" x14ac:dyDescent="0.3">
      <c r="A216">
        <v>49518272</v>
      </c>
      <c r="B216" s="1">
        <v>46050</v>
      </c>
      <c r="C216">
        <v>28</v>
      </c>
      <c r="D216">
        <v>1</v>
      </c>
      <c r="E216">
        <v>2026</v>
      </c>
      <c r="F216" t="s">
        <v>23</v>
      </c>
      <c r="G216" t="s">
        <v>24</v>
      </c>
      <c r="H216" t="s">
        <v>25</v>
      </c>
      <c r="I216" t="s">
        <v>258</v>
      </c>
      <c r="J216" t="s">
        <v>259</v>
      </c>
      <c r="K216" t="s">
        <v>28</v>
      </c>
      <c r="L216" t="s">
        <v>29</v>
      </c>
      <c r="M216" t="s">
        <v>30</v>
      </c>
      <c r="N216" t="s">
        <v>31</v>
      </c>
      <c r="O216" t="s">
        <v>32</v>
      </c>
      <c r="P216" t="s">
        <v>260</v>
      </c>
      <c r="Q216" t="s">
        <v>261</v>
      </c>
      <c r="R216" t="s">
        <v>635</v>
      </c>
      <c r="S216" t="s">
        <v>47</v>
      </c>
      <c r="T216" t="s">
        <v>120</v>
      </c>
      <c r="U216" t="s">
        <v>194</v>
      </c>
      <c r="V216" t="s">
        <v>636</v>
      </c>
      <c r="W216">
        <v>9</v>
      </c>
    </row>
    <row r="217" spans="1:23" x14ac:dyDescent="0.3">
      <c r="A217">
        <v>49512178</v>
      </c>
      <c r="B217" s="1">
        <v>46057</v>
      </c>
      <c r="C217">
        <v>4</v>
      </c>
      <c r="D217">
        <v>2</v>
      </c>
      <c r="E217">
        <v>2026</v>
      </c>
      <c r="F217" t="s">
        <v>23</v>
      </c>
      <c r="G217" t="s">
        <v>24</v>
      </c>
      <c r="H217" t="s">
        <v>25</v>
      </c>
      <c r="I217" t="s">
        <v>281</v>
      </c>
      <c r="J217" t="s">
        <v>282</v>
      </c>
      <c r="K217" t="s">
        <v>28</v>
      </c>
      <c r="L217" t="s">
        <v>29</v>
      </c>
      <c r="M217" t="s">
        <v>30</v>
      </c>
      <c r="N217" t="s">
        <v>31</v>
      </c>
      <c r="O217" t="s">
        <v>32</v>
      </c>
      <c r="P217" t="s">
        <v>283</v>
      </c>
      <c r="Q217" t="s">
        <v>284</v>
      </c>
      <c r="R217" t="s">
        <v>637</v>
      </c>
      <c r="S217" t="s">
        <v>36</v>
      </c>
      <c r="T217" t="s">
        <v>37</v>
      </c>
      <c r="U217" t="s">
        <v>38</v>
      </c>
      <c r="V217" t="s">
        <v>39</v>
      </c>
      <c r="W217">
        <v>3</v>
      </c>
    </row>
    <row r="218" spans="1:23" x14ac:dyDescent="0.3">
      <c r="A218">
        <v>49323238</v>
      </c>
      <c r="B218" s="1">
        <v>46054</v>
      </c>
      <c r="C218">
        <v>1</v>
      </c>
      <c r="D218">
        <v>2</v>
      </c>
      <c r="E218">
        <v>2026</v>
      </c>
      <c r="F218" t="s">
        <v>23</v>
      </c>
      <c r="G218" t="s">
        <v>24</v>
      </c>
      <c r="H218" t="s">
        <v>25</v>
      </c>
      <c r="I218" t="s">
        <v>251</v>
      </c>
      <c r="J218" t="s">
        <v>252</v>
      </c>
      <c r="K218" t="s">
        <v>28</v>
      </c>
      <c r="L218" t="s">
        <v>29</v>
      </c>
      <c r="M218" t="s">
        <v>30</v>
      </c>
      <c r="N218" t="s">
        <v>31</v>
      </c>
      <c r="O218" t="s">
        <v>32</v>
      </c>
      <c r="P218" t="s">
        <v>125</v>
      </c>
      <c r="Q218" t="s">
        <v>253</v>
      </c>
      <c r="R218" t="s">
        <v>638</v>
      </c>
      <c r="S218" t="s">
        <v>47</v>
      </c>
      <c r="T218" t="s">
        <v>101</v>
      </c>
      <c r="U218" t="s">
        <v>128</v>
      </c>
      <c r="V218" t="s">
        <v>332</v>
      </c>
      <c r="W218">
        <v>2</v>
      </c>
    </row>
    <row r="219" spans="1:23" x14ac:dyDescent="0.3">
      <c r="A219">
        <v>48653540</v>
      </c>
      <c r="B219" s="1">
        <v>46036</v>
      </c>
      <c r="C219">
        <v>14</v>
      </c>
      <c r="D219">
        <v>1</v>
      </c>
      <c r="E219">
        <v>2026</v>
      </c>
      <c r="F219" t="s">
        <v>23</v>
      </c>
      <c r="G219" t="s">
        <v>24</v>
      </c>
      <c r="H219" t="s">
        <v>25</v>
      </c>
      <c r="I219" t="s">
        <v>639</v>
      </c>
      <c r="J219" t="s">
        <v>640</v>
      </c>
      <c r="K219" t="s">
        <v>28</v>
      </c>
      <c r="L219" t="s">
        <v>29</v>
      </c>
      <c r="M219" t="s">
        <v>30</v>
      </c>
      <c r="N219" t="s">
        <v>42</v>
      </c>
      <c r="O219" t="s">
        <v>43</v>
      </c>
      <c r="P219" t="s">
        <v>44</v>
      </c>
      <c r="Q219" t="s">
        <v>391</v>
      </c>
      <c r="R219" t="s">
        <v>641</v>
      </c>
      <c r="S219" t="s">
        <v>36</v>
      </c>
      <c r="T219" t="s">
        <v>37</v>
      </c>
      <c r="U219" t="s">
        <v>249</v>
      </c>
      <c r="V219" t="s">
        <v>250</v>
      </c>
      <c r="W219">
        <v>6</v>
      </c>
    </row>
    <row r="220" spans="1:23" x14ac:dyDescent="0.3">
      <c r="A220">
        <v>48915866</v>
      </c>
      <c r="B220" s="1">
        <v>46048</v>
      </c>
      <c r="C220">
        <v>26</v>
      </c>
      <c r="D220">
        <v>1</v>
      </c>
      <c r="E220">
        <v>2026</v>
      </c>
      <c r="F220" t="s">
        <v>23</v>
      </c>
      <c r="G220" t="s">
        <v>24</v>
      </c>
      <c r="H220" t="s">
        <v>25</v>
      </c>
      <c r="I220" t="s">
        <v>150</v>
      </c>
      <c r="J220" t="s">
        <v>151</v>
      </c>
      <c r="K220" t="s">
        <v>28</v>
      </c>
      <c r="L220" t="s">
        <v>29</v>
      </c>
      <c r="M220" t="s">
        <v>30</v>
      </c>
      <c r="N220" t="s">
        <v>31</v>
      </c>
      <c r="O220" t="s">
        <v>32</v>
      </c>
      <c r="P220" t="s">
        <v>125</v>
      </c>
      <c r="Q220" t="s">
        <v>152</v>
      </c>
      <c r="R220" t="s">
        <v>642</v>
      </c>
      <c r="S220" t="s">
        <v>47</v>
      </c>
      <c r="T220" t="s">
        <v>113</v>
      </c>
      <c r="U220" t="s">
        <v>301</v>
      </c>
      <c r="V220" t="s">
        <v>302</v>
      </c>
      <c r="W220">
        <v>5</v>
      </c>
    </row>
    <row r="221" spans="1:23" x14ac:dyDescent="0.3">
      <c r="A221">
        <v>50032453</v>
      </c>
      <c r="B221" s="1">
        <v>46068</v>
      </c>
      <c r="C221">
        <v>15</v>
      </c>
      <c r="D221">
        <v>2</v>
      </c>
      <c r="E221">
        <v>2026</v>
      </c>
      <c r="F221" t="s">
        <v>23</v>
      </c>
      <c r="G221" t="s">
        <v>24</v>
      </c>
      <c r="H221" t="s">
        <v>25</v>
      </c>
      <c r="I221" t="s">
        <v>158</v>
      </c>
      <c r="J221" t="s">
        <v>159</v>
      </c>
      <c r="K221" t="s">
        <v>28</v>
      </c>
      <c r="L221" t="s">
        <v>29</v>
      </c>
      <c r="M221" t="s">
        <v>30</v>
      </c>
      <c r="N221" t="s">
        <v>31</v>
      </c>
      <c r="O221" t="s">
        <v>160</v>
      </c>
      <c r="P221" t="s">
        <v>161</v>
      </c>
      <c r="Q221" t="s">
        <v>162</v>
      </c>
      <c r="R221" t="s">
        <v>220</v>
      </c>
      <c r="S221" t="s">
        <v>63</v>
      </c>
      <c r="T221" t="s">
        <v>164</v>
      </c>
      <c r="U221" t="s">
        <v>200</v>
      </c>
      <c r="V221" t="s">
        <v>201</v>
      </c>
      <c r="W221">
        <v>8</v>
      </c>
    </row>
    <row r="222" spans="1:23" x14ac:dyDescent="0.3">
      <c r="A222">
        <v>48902685</v>
      </c>
      <c r="B222" s="1">
        <v>46047</v>
      </c>
      <c r="C222">
        <v>25</v>
      </c>
      <c r="D222">
        <v>1</v>
      </c>
      <c r="E222">
        <v>2026</v>
      </c>
      <c r="F222" t="s">
        <v>51</v>
      </c>
      <c r="G222" t="s">
        <v>52</v>
      </c>
      <c r="H222" t="s">
        <v>53</v>
      </c>
      <c r="I222" t="s">
        <v>643</v>
      </c>
      <c r="J222" t="s">
        <v>644</v>
      </c>
      <c r="K222" t="s">
        <v>28</v>
      </c>
      <c r="L222" t="s">
        <v>56</v>
      </c>
      <c r="M222" t="s">
        <v>57</v>
      </c>
      <c r="N222" t="s">
        <v>58</v>
      </c>
      <c r="O222" t="s">
        <v>59</v>
      </c>
      <c r="P222" t="s">
        <v>60</v>
      </c>
      <c r="Q222" t="s">
        <v>61</v>
      </c>
      <c r="R222" t="s">
        <v>645</v>
      </c>
      <c r="S222" t="s">
        <v>36</v>
      </c>
      <c r="T222" t="s">
        <v>646</v>
      </c>
      <c r="U222" t="s">
        <v>647</v>
      </c>
      <c r="V222" t="s">
        <v>648</v>
      </c>
      <c r="W222">
        <v>9</v>
      </c>
    </row>
    <row r="223" spans="1:23" x14ac:dyDescent="0.3">
      <c r="A223">
        <v>49620067</v>
      </c>
      <c r="B223" s="1">
        <v>46059</v>
      </c>
      <c r="C223">
        <v>6</v>
      </c>
      <c r="D223">
        <v>2</v>
      </c>
      <c r="E223">
        <v>2026</v>
      </c>
      <c r="F223" t="s">
        <v>23</v>
      </c>
      <c r="G223" t="s">
        <v>24</v>
      </c>
      <c r="H223" t="s">
        <v>25</v>
      </c>
      <c r="I223" t="s">
        <v>96</v>
      </c>
      <c r="J223" t="s">
        <v>97</v>
      </c>
      <c r="K223" t="s">
        <v>28</v>
      </c>
      <c r="L223" t="s">
        <v>29</v>
      </c>
      <c r="M223" t="s">
        <v>30</v>
      </c>
      <c r="N223" t="s">
        <v>31</v>
      </c>
      <c r="O223" t="s">
        <v>32</v>
      </c>
      <c r="P223" t="s">
        <v>98</v>
      </c>
      <c r="Q223" t="s">
        <v>99</v>
      </c>
      <c r="R223" t="s">
        <v>649</v>
      </c>
      <c r="S223" t="s">
        <v>47</v>
      </c>
      <c r="T223" t="s">
        <v>113</v>
      </c>
      <c r="U223" t="s">
        <v>255</v>
      </c>
      <c r="V223" t="s">
        <v>256</v>
      </c>
      <c r="W223">
        <v>0</v>
      </c>
    </row>
    <row r="224" spans="1:23" x14ac:dyDescent="0.3">
      <c r="A224">
        <v>50031382</v>
      </c>
      <c r="B224" s="1">
        <v>46067</v>
      </c>
      <c r="C224">
        <v>14</v>
      </c>
      <c r="D224">
        <v>2</v>
      </c>
      <c r="E224">
        <v>2026</v>
      </c>
      <c r="F224" t="s">
        <v>351</v>
      </c>
      <c r="G224" t="s">
        <v>352</v>
      </c>
      <c r="H224" t="s">
        <v>353</v>
      </c>
      <c r="I224" t="s">
        <v>529</v>
      </c>
      <c r="J224" t="s">
        <v>530</v>
      </c>
      <c r="K224" t="s">
        <v>28</v>
      </c>
      <c r="L224" t="s">
        <v>56</v>
      </c>
      <c r="M224" t="s">
        <v>57</v>
      </c>
      <c r="N224" t="s">
        <v>58</v>
      </c>
      <c r="O224" t="s">
        <v>289</v>
      </c>
      <c r="P224" t="s">
        <v>531</v>
      </c>
      <c r="Q224" t="s">
        <v>532</v>
      </c>
      <c r="R224" t="s">
        <v>650</v>
      </c>
      <c r="S224" t="s">
        <v>47</v>
      </c>
      <c r="T224" t="s">
        <v>113</v>
      </c>
      <c r="U224" t="s">
        <v>188</v>
      </c>
      <c r="V224" t="s">
        <v>189</v>
      </c>
      <c r="W224">
        <v>1</v>
      </c>
    </row>
    <row r="225" spans="1:23" x14ac:dyDescent="0.3">
      <c r="A225">
        <v>49724513</v>
      </c>
      <c r="B225" s="1">
        <v>46056</v>
      </c>
      <c r="C225">
        <v>3</v>
      </c>
      <c r="D225">
        <v>2</v>
      </c>
      <c r="E225">
        <v>2026</v>
      </c>
      <c r="F225" t="s">
        <v>23</v>
      </c>
      <c r="G225" t="s">
        <v>24</v>
      </c>
      <c r="H225" t="s">
        <v>25</v>
      </c>
      <c r="I225" t="s">
        <v>563</v>
      </c>
      <c r="J225" t="s">
        <v>564</v>
      </c>
      <c r="K225" t="s">
        <v>28</v>
      </c>
      <c r="L225" t="s">
        <v>29</v>
      </c>
      <c r="M225" t="s">
        <v>30</v>
      </c>
      <c r="N225" t="s">
        <v>31</v>
      </c>
      <c r="O225" t="s">
        <v>160</v>
      </c>
      <c r="P225" t="s">
        <v>161</v>
      </c>
      <c r="Q225" t="s">
        <v>565</v>
      </c>
      <c r="R225" t="s">
        <v>651</v>
      </c>
      <c r="S225" t="s">
        <v>47</v>
      </c>
      <c r="T225" t="s">
        <v>79</v>
      </c>
      <c r="U225" t="s">
        <v>80</v>
      </c>
      <c r="V225" t="s">
        <v>81</v>
      </c>
      <c r="W225">
        <v>0</v>
      </c>
    </row>
    <row r="226" spans="1:23" x14ac:dyDescent="0.3">
      <c r="A226">
        <v>49889531</v>
      </c>
      <c r="B226" s="1">
        <v>46064</v>
      </c>
      <c r="C226">
        <v>11</v>
      </c>
      <c r="D226">
        <v>2</v>
      </c>
      <c r="E226">
        <v>2026</v>
      </c>
      <c r="F226" t="s">
        <v>23</v>
      </c>
      <c r="G226" t="s">
        <v>24</v>
      </c>
      <c r="H226" t="s">
        <v>25</v>
      </c>
      <c r="I226" t="s">
        <v>518</v>
      </c>
      <c r="J226" t="s">
        <v>519</v>
      </c>
      <c r="K226" t="s">
        <v>28</v>
      </c>
      <c r="L226" t="s">
        <v>29</v>
      </c>
      <c r="M226" t="s">
        <v>271</v>
      </c>
      <c r="N226" t="s">
        <v>520</v>
      </c>
      <c r="O226" t="s">
        <v>521</v>
      </c>
      <c r="P226" t="s">
        <v>522</v>
      </c>
      <c r="Q226" t="s">
        <v>523</v>
      </c>
      <c r="R226" t="s">
        <v>652</v>
      </c>
      <c r="S226" t="s">
        <v>63</v>
      </c>
      <c r="T226" t="s">
        <v>164</v>
      </c>
      <c r="U226" t="s">
        <v>165</v>
      </c>
      <c r="V226" t="s">
        <v>527</v>
      </c>
      <c r="W226">
        <v>1</v>
      </c>
    </row>
    <row r="227" spans="1:23" x14ac:dyDescent="0.3">
      <c r="A227">
        <v>48912686</v>
      </c>
      <c r="B227" s="1">
        <v>46048</v>
      </c>
      <c r="C227">
        <v>26</v>
      </c>
      <c r="D227">
        <v>1</v>
      </c>
      <c r="E227">
        <v>2026</v>
      </c>
      <c r="F227" t="s">
        <v>23</v>
      </c>
      <c r="G227" t="s">
        <v>24</v>
      </c>
      <c r="H227" t="s">
        <v>25</v>
      </c>
      <c r="I227" t="s">
        <v>551</v>
      </c>
      <c r="J227" t="s">
        <v>552</v>
      </c>
      <c r="K227" t="s">
        <v>28</v>
      </c>
      <c r="L227" t="s">
        <v>29</v>
      </c>
      <c r="M227" t="s">
        <v>271</v>
      </c>
      <c r="N227" t="s">
        <v>520</v>
      </c>
      <c r="O227" t="s">
        <v>553</v>
      </c>
      <c r="P227" t="s">
        <v>554</v>
      </c>
      <c r="Q227" t="s">
        <v>555</v>
      </c>
      <c r="R227" t="s">
        <v>642</v>
      </c>
      <c r="S227" t="s">
        <v>47</v>
      </c>
      <c r="T227" t="s">
        <v>113</v>
      </c>
      <c r="U227" t="s">
        <v>301</v>
      </c>
      <c r="V227" t="s">
        <v>302</v>
      </c>
      <c r="W227">
        <v>1</v>
      </c>
    </row>
    <row r="228" spans="1:23" x14ac:dyDescent="0.3">
      <c r="A228">
        <v>50032108</v>
      </c>
      <c r="B228" s="1">
        <v>46068</v>
      </c>
      <c r="C228">
        <v>15</v>
      </c>
      <c r="D228">
        <v>2</v>
      </c>
      <c r="E228">
        <v>2026</v>
      </c>
      <c r="F228" t="s">
        <v>23</v>
      </c>
      <c r="G228" t="s">
        <v>24</v>
      </c>
      <c r="H228" t="s">
        <v>25</v>
      </c>
      <c r="I228" t="s">
        <v>40</v>
      </c>
      <c r="J228" t="s">
        <v>41</v>
      </c>
      <c r="K228" t="s">
        <v>28</v>
      </c>
      <c r="L228" t="s">
        <v>29</v>
      </c>
      <c r="M228" t="s">
        <v>30</v>
      </c>
      <c r="N228" t="s">
        <v>42</v>
      </c>
      <c r="O228" t="s">
        <v>43</v>
      </c>
      <c r="P228" t="s">
        <v>44</v>
      </c>
      <c r="Q228" t="s">
        <v>45</v>
      </c>
      <c r="R228" t="s">
        <v>653</v>
      </c>
      <c r="S228" t="s">
        <v>63</v>
      </c>
      <c r="T228" t="s">
        <v>164</v>
      </c>
      <c r="U228" t="s">
        <v>200</v>
      </c>
      <c r="V228" t="s">
        <v>201</v>
      </c>
      <c r="W228">
        <v>1</v>
      </c>
    </row>
    <row r="229" spans="1:23" x14ac:dyDescent="0.3">
      <c r="A229">
        <v>48599964</v>
      </c>
      <c r="B229" s="1">
        <v>46030</v>
      </c>
      <c r="C229">
        <v>8</v>
      </c>
      <c r="D229">
        <v>1</v>
      </c>
      <c r="E229">
        <v>2026</v>
      </c>
      <c r="F229" t="s">
        <v>23</v>
      </c>
      <c r="G229" t="s">
        <v>24</v>
      </c>
      <c r="H229" t="s">
        <v>25</v>
      </c>
      <c r="I229" t="s">
        <v>420</v>
      </c>
      <c r="J229" t="s">
        <v>421</v>
      </c>
      <c r="K229" t="s">
        <v>28</v>
      </c>
      <c r="L229" t="s">
        <v>29</v>
      </c>
      <c r="M229" t="s">
        <v>30</v>
      </c>
      <c r="N229" t="s">
        <v>42</v>
      </c>
      <c r="O229" t="s">
        <v>43</v>
      </c>
      <c r="P229" t="s">
        <v>44</v>
      </c>
      <c r="Q229" t="s">
        <v>391</v>
      </c>
      <c r="R229" t="s">
        <v>630</v>
      </c>
      <c r="S229" t="s">
        <v>36</v>
      </c>
      <c r="T229" t="s">
        <v>179</v>
      </c>
      <c r="U229" t="s">
        <v>617</v>
      </c>
      <c r="V229" t="s">
        <v>630</v>
      </c>
      <c r="W229">
        <v>0</v>
      </c>
    </row>
    <row r="230" spans="1:23" x14ac:dyDescent="0.3">
      <c r="A230">
        <v>49512913</v>
      </c>
      <c r="B230" s="1">
        <v>46057</v>
      </c>
      <c r="C230">
        <v>4</v>
      </c>
      <c r="D230">
        <v>2</v>
      </c>
      <c r="E230">
        <v>2026</v>
      </c>
      <c r="F230" t="s">
        <v>23</v>
      </c>
      <c r="G230" t="s">
        <v>24</v>
      </c>
      <c r="H230" t="s">
        <v>25</v>
      </c>
      <c r="I230" t="s">
        <v>295</v>
      </c>
      <c r="J230" t="s">
        <v>296</v>
      </c>
      <c r="K230" t="s">
        <v>28</v>
      </c>
      <c r="L230" t="s">
        <v>29</v>
      </c>
      <c r="M230" t="s">
        <v>30</v>
      </c>
      <c r="N230" t="s">
        <v>31</v>
      </c>
      <c r="O230" t="s">
        <v>132</v>
      </c>
      <c r="P230" t="s">
        <v>133</v>
      </c>
      <c r="Q230" t="s">
        <v>297</v>
      </c>
      <c r="R230" t="s">
        <v>654</v>
      </c>
      <c r="S230" t="s">
        <v>36</v>
      </c>
      <c r="T230" t="s">
        <v>37</v>
      </c>
      <c r="U230" t="s">
        <v>38</v>
      </c>
      <c r="V230" t="s">
        <v>39</v>
      </c>
      <c r="W230">
        <v>2</v>
      </c>
    </row>
    <row r="231" spans="1:23" x14ac:dyDescent="0.3">
      <c r="A231">
        <v>50355879</v>
      </c>
      <c r="B231" s="1">
        <v>46077</v>
      </c>
      <c r="C231">
        <v>24</v>
      </c>
      <c r="D231">
        <v>2</v>
      </c>
      <c r="E231">
        <v>2026</v>
      </c>
      <c r="F231" t="s">
        <v>51</v>
      </c>
      <c r="G231" t="s">
        <v>52</v>
      </c>
      <c r="H231" t="s">
        <v>53</v>
      </c>
      <c r="I231" t="s">
        <v>206</v>
      </c>
      <c r="J231" t="s">
        <v>207</v>
      </c>
      <c r="K231" t="s">
        <v>28</v>
      </c>
      <c r="L231" t="s">
        <v>56</v>
      </c>
      <c r="M231" t="s">
        <v>57</v>
      </c>
      <c r="N231" t="s">
        <v>58</v>
      </c>
      <c r="O231" t="s">
        <v>59</v>
      </c>
      <c r="P231" t="s">
        <v>60</v>
      </c>
      <c r="Q231" t="s">
        <v>208</v>
      </c>
      <c r="R231" t="s">
        <v>655</v>
      </c>
      <c r="S231" t="s">
        <v>63</v>
      </c>
      <c r="T231" t="s">
        <v>164</v>
      </c>
      <c r="U231" t="s">
        <v>656</v>
      </c>
      <c r="V231" t="s">
        <v>657</v>
      </c>
      <c r="W231">
        <v>3</v>
      </c>
    </row>
    <row r="232" spans="1:23" x14ac:dyDescent="0.3">
      <c r="A232">
        <v>48667269</v>
      </c>
      <c r="B232" s="1">
        <v>46037</v>
      </c>
      <c r="C232">
        <v>15</v>
      </c>
      <c r="D232">
        <v>1</v>
      </c>
      <c r="E232">
        <v>2026</v>
      </c>
      <c r="F232" t="s">
        <v>23</v>
      </c>
      <c r="G232" t="s">
        <v>24</v>
      </c>
      <c r="H232" t="s">
        <v>25</v>
      </c>
      <c r="I232" t="s">
        <v>281</v>
      </c>
      <c r="J232" t="s">
        <v>282</v>
      </c>
      <c r="K232" t="s">
        <v>28</v>
      </c>
      <c r="L232" t="s">
        <v>29</v>
      </c>
      <c r="M232" t="s">
        <v>30</v>
      </c>
      <c r="N232" t="s">
        <v>31</v>
      </c>
      <c r="O232" t="s">
        <v>32</v>
      </c>
      <c r="P232" t="s">
        <v>283</v>
      </c>
      <c r="Q232" t="s">
        <v>284</v>
      </c>
      <c r="R232" t="s">
        <v>658</v>
      </c>
      <c r="S232" t="s">
        <v>47</v>
      </c>
      <c r="T232" t="s">
        <v>120</v>
      </c>
      <c r="U232" t="s">
        <v>121</v>
      </c>
      <c r="V232" t="s">
        <v>659</v>
      </c>
      <c r="W232">
        <v>4</v>
      </c>
    </row>
    <row r="233" spans="1:23" x14ac:dyDescent="0.3">
      <c r="A233">
        <v>49962480</v>
      </c>
      <c r="B233" s="1">
        <v>46065</v>
      </c>
      <c r="C233">
        <v>12</v>
      </c>
      <c r="D233">
        <v>2</v>
      </c>
      <c r="E233">
        <v>2026</v>
      </c>
      <c r="F233" t="s">
        <v>23</v>
      </c>
      <c r="G233" t="s">
        <v>24</v>
      </c>
      <c r="H233" t="s">
        <v>25</v>
      </c>
      <c r="I233" t="s">
        <v>251</v>
      </c>
      <c r="J233" t="s">
        <v>252</v>
      </c>
      <c r="K233" t="s">
        <v>28</v>
      </c>
      <c r="L233" t="s">
        <v>29</v>
      </c>
      <c r="M233" t="s">
        <v>30</v>
      </c>
      <c r="N233" t="s">
        <v>31</v>
      </c>
      <c r="O233" t="s">
        <v>32</v>
      </c>
      <c r="P233" t="s">
        <v>125</v>
      </c>
      <c r="Q233" t="s">
        <v>253</v>
      </c>
      <c r="R233" t="s">
        <v>660</v>
      </c>
      <c r="S233" t="s">
        <v>47</v>
      </c>
      <c r="T233" t="s">
        <v>48</v>
      </c>
      <c r="U233" t="s">
        <v>183</v>
      </c>
      <c r="V233" t="s">
        <v>184</v>
      </c>
      <c r="W233">
        <v>5</v>
      </c>
    </row>
    <row r="234" spans="1:23" x14ac:dyDescent="0.3">
      <c r="A234">
        <v>49671645</v>
      </c>
      <c r="B234" s="1">
        <v>46062</v>
      </c>
      <c r="C234">
        <v>9</v>
      </c>
      <c r="D234">
        <v>2</v>
      </c>
      <c r="E234">
        <v>2026</v>
      </c>
      <c r="F234" t="s">
        <v>23</v>
      </c>
      <c r="G234" t="s">
        <v>24</v>
      </c>
      <c r="H234" t="s">
        <v>25</v>
      </c>
      <c r="I234" t="s">
        <v>251</v>
      </c>
      <c r="J234" t="s">
        <v>252</v>
      </c>
      <c r="K234" t="s">
        <v>28</v>
      </c>
      <c r="L234" t="s">
        <v>29</v>
      </c>
      <c r="M234" t="s">
        <v>30</v>
      </c>
      <c r="N234" t="s">
        <v>31</v>
      </c>
      <c r="O234" t="s">
        <v>32</v>
      </c>
      <c r="P234" t="s">
        <v>125</v>
      </c>
      <c r="Q234" t="s">
        <v>253</v>
      </c>
      <c r="R234" t="s">
        <v>661</v>
      </c>
      <c r="S234" t="s">
        <v>47</v>
      </c>
      <c r="T234" t="s">
        <v>48</v>
      </c>
      <c r="U234" t="s">
        <v>142</v>
      </c>
      <c r="V234" t="s">
        <v>143</v>
      </c>
      <c r="W234">
        <v>6</v>
      </c>
    </row>
    <row r="235" spans="1:23" x14ac:dyDescent="0.3">
      <c r="A235">
        <v>49303286</v>
      </c>
      <c r="B235" s="1">
        <v>46053</v>
      </c>
      <c r="C235">
        <v>31</v>
      </c>
      <c r="D235">
        <v>1</v>
      </c>
      <c r="E235">
        <v>2026</v>
      </c>
      <c r="F235" t="s">
        <v>23</v>
      </c>
      <c r="G235" t="s">
        <v>24</v>
      </c>
      <c r="H235" t="s">
        <v>25</v>
      </c>
      <c r="I235" t="s">
        <v>662</v>
      </c>
      <c r="J235" t="s">
        <v>663</v>
      </c>
      <c r="K235" t="s">
        <v>28</v>
      </c>
      <c r="L235" t="s">
        <v>29</v>
      </c>
      <c r="M235" t="s">
        <v>30</v>
      </c>
      <c r="N235" t="s">
        <v>31</v>
      </c>
      <c r="O235" t="s">
        <v>160</v>
      </c>
      <c r="P235" t="s">
        <v>161</v>
      </c>
      <c r="Q235" t="s">
        <v>565</v>
      </c>
      <c r="R235" t="s">
        <v>664</v>
      </c>
      <c r="S235" t="s">
        <v>36</v>
      </c>
      <c r="T235" t="s">
        <v>179</v>
      </c>
      <c r="U235" t="s">
        <v>180</v>
      </c>
      <c r="V235" t="s">
        <v>181</v>
      </c>
      <c r="W235">
        <v>8</v>
      </c>
    </row>
    <row r="236" spans="1:23" x14ac:dyDescent="0.3">
      <c r="A236">
        <v>49303283</v>
      </c>
      <c r="B236" s="1">
        <v>46053</v>
      </c>
      <c r="C236">
        <v>31</v>
      </c>
      <c r="D236">
        <v>1</v>
      </c>
      <c r="E236">
        <v>2026</v>
      </c>
      <c r="F236" t="s">
        <v>23</v>
      </c>
      <c r="G236" t="s">
        <v>24</v>
      </c>
      <c r="H236" t="s">
        <v>25</v>
      </c>
      <c r="I236" t="s">
        <v>281</v>
      </c>
      <c r="J236" t="s">
        <v>282</v>
      </c>
      <c r="K236" t="s">
        <v>28</v>
      </c>
      <c r="L236" t="s">
        <v>29</v>
      </c>
      <c r="M236" t="s">
        <v>30</v>
      </c>
      <c r="N236" t="s">
        <v>31</v>
      </c>
      <c r="O236" t="s">
        <v>32</v>
      </c>
      <c r="P236" t="s">
        <v>283</v>
      </c>
      <c r="Q236" t="s">
        <v>284</v>
      </c>
      <c r="R236" t="s">
        <v>665</v>
      </c>
      <c r="S236" t="s">
        <v>36</v>
      </c>
      <c r="T236" t="s">
        <v>179</v>
      </c>
      <c r="U236" t="s">
        <v>180</v>
      </c>
      <c r="V236" t="s">
        <v>181</v>
      </c>
      <c r="W236">
        <v>9</v>
      </c>
    </row>
    <row r="237" spans="1:23" x14ac:dyDescent="0.3">
      <c r="A237">
        <v>48789129</v>
      </c>
      <c r="B237" s="1">
        <v>46046</v>
      </c>
      <c r="C237">
        <v>24</v>
      </c>
      <c r="D237">
        <v>1</v>
      </c>
      <c r="E237">
        <v>2026</v>
      </c>
      <c r="F237" t="s">
        <v>51</v>
      </c>
      <c r="G237" t="s">
        <v>52</v>
      </c>
      <c r="H237" t="s">
        <v>53</v>
      </c>
      <c r="I237" t="s">
        <v>104</v>
      </c>
      <c r="J237" t="s">
        <v>105</v>
      </c>
      <c r="K237" t="s">
        <v>28</v>
      </c>
      <c r="L237" t="s">
        <v>56</v>
      </c>
      <c r="M237" t="s">
        <v>57</v>
      </c>
      <c r="N237" t="s">
        <v>58</v>
      </c>
      <c r="O237" t="s">
        <v>59</v>
      </c>
      <c r="P237" t="s">
        <v>60</v>
      </c>
      <c r="Q237" t="s">
        <v>106</v>
      </c>
      <c r="R237" t="s">
        <v>666</v>
      </c>
      <c r="S237" t="s">
        <v>63</v>
      </c>
      <c r="T237" t="s">
        <v>164</v>
      </c>
      <c r="U237" t="s">
        <v>656</v>
      </c>
      <c r="V237" t="s">
        <v>657</v>
      </c>
      <c r="W237">
        <v>5</v>
      </c>
    </row>
    <row r="238" spans="1:23" x14ac:dyDescent="0.3">
      <c r="A238">
        <v>49303290</v>
      </c>
      <c r="B238" s="1">
        <v>46053</v>
      </c>
      <c r="C238">
        <v>31</v>
      </c>
      <c r="D238">
        <v>1</v>
      </c>
      <c r="E238">
        <v>2026</v>
      </c>
      <c r="F238" t="s">
        <v>23</v>
      </c>
      <c r="G238" t="s">
        <v>24</v>
      </c>
      <c r="H238" t="s">
        <v>25</v>
      </c>
      <c r="I238" t="s">
        <v>413</v>
      </c>
      <c r="J238" t="s">
        <v>414</v>
      </c>
      <c r="K238" t="s">
        <v>28</v>
      </c>
      <c r="L238" t="s">
        <v>29</v>
      </c>
      <c r="M238" t="s">
        <v>30</v>
      </c>
      <c r="N238" t="s">
        <v>31</v>
      </c>
      <c r="O238" t="s">
        <v>415</v>
      </c>
      <c r="P238" t="s">
        <v>416</v>
      </c>
      <c r="Q238" t="s">
        <v>417</v>
      </c>
      <c r="R238" t="s">
        <v>667</v>
      </c>
      <c r="S238" t="s">
        <v>47</v>
      </c>
      <c r="T238" t="s">
        <v>120</v>
      </c>
      <c r="U238" t="s">
        <v>233</v>
      </c>
      <c r="V238" t="s">
        <v>361</v>
      </c>
      <c r="W238">
        <v>2</v>
      </c>
    </row>
    <row r="239" spans="1:23" x14ac:dyDescent="0.3">
      <c r="A239">
        <v>49514957</v>
      </c>
      <c r="B239" s="1">
        <v>46057</v>
      </c>
      <c r="C239">
        <v>4</v>
      </c>
      <c r="D239">
        <v>2</v>
      </c>
      <c r="E239">
        <v>2026</v>
      </c>
      <c r="F239" t="s">
        <v>23</v>
      </c>
      <c r="G239" t="s">
        <v>24</v>
      </c>
      <c r="H239" t="s">
        <v>25</v>
      </c>
      <c r="I239" t="s">
        <v>108</v>
      </c>
      <c r="J239" t="s">
        <v>109</v>
      </c>
      <c r="K239" t="s">
        <v>28</v>
      </c>
      <c r="L239" t="s">
        <v>29</v>
      </c>
      <c r="M239" t="s">
        <v>30</v>
      </c>
      <c r="N239" t="s">
        <v>31</v>
      </c>
      <c r="O239" t="s">
        <v>32</v>
      </c>
      <c r="P239" t="s">
        <v>110</v>
      </c>
      <c r="Q239" t="s">
        <v>111</v>
      </c>
      <c r="R239" t="s">
        <v>668</v>
      </c>
      <c r="S239" t="s">
        <v>36</v>
      </c>
      <c r="T239" t="s">
        <v>37</v>
      </c>
      <c r="U239" t="s">
        <v>38</v>
      </c>
      <c r="V239" t="s">
        <v>39</v>
      </c>
      <c r="W239">
        <v>1</v>
      </c>
    </row>
    <row r="240" spans="1:23" x14ac:dyDescent="0.3">
      <c r="A240">
        <v>50023794</v>
      </c>
      <c r="B240" s="1">
        <v>46066</v>
      </c>
      <c r="C240">
        <v>13</v>
      </c>
      <c r="D240">
        <v>2</v>
      </c>
      <c r="E240">
        <v>2026</v>
      </c>
      <c r="F240" t="s">
        <v>23</v>
      </c>
      <c r="G240" t="s">
        <v>24</v>
      </c>
      <c r="H240" t="s">
        <v>25</v>
      </c>
      <c r="I240" t="s">
        <v>669</v>
      </c>
      <c r="J240" t="s">
        <v>670</v>
      </c>
      <c r="K240" t="s">
        <v>28</v>
      </c>
      <c r="L240" t="s">
        <v>29</v>
      </c>
      <c r="M240" t="s">
        <v>30</v>
      </c>
      <c r="N240" t="s">
        <v>31</v>
      </c>
      <c r="O240" t="s">
        <v>138</v>
      </c>
      <c r="P240" t="s">
        <v>348</v>
      </c>
      <c r="Q240" t="s">
        <v>582</v>
      </c>
      <c r="R240" t="s">
        <v>393</v>
      </c>
      <c r="S240" t="s">
        <v>63</v>
      </c>
      <c r="T240" t="s">
        <v>164</v>
      </c>
      <c r="U240" t="s">
        <v>293</v>
      </c>
      <c r="V240" t="s">
        <v>314</v>
      </c>
      <c r="W240">
        <v>4</v>
      </c>
    </row>
    <row r="241" spans="1:23" x14ac:dyDescent="0.3">
      <c r="A241">
        <v>49298810</v>
      </c>
      <c r="B241" s="1">
        <v>46053</v>
      </c>
      <c r="C241">
        <v>31</v>
      </c>
      <c r="D241">
        <v>1</v>
      </c>
      <c r="E241">
        <v>2026</v>
      </c>
      <c r="F241" t="s">
        <v>23</v>
      </c>
      <c r="G241" t="s">
        <v>24</v>
      </c>
      <c r="H241" t="s">
        <v>25</v>
      </c>
      <c r="I241" t="s">
        <v>144</v>
      </c>
      <c r="J241" t="s">
        <v>145</v>
      </c>
      <c r="K241" t="s">
        <v>28</v>
      </c>
      <c r="L241" t="s">
        <v>29</v>
      </c>
      <c r="M241" t="s">
        <v>30</v>
      </c>
      <c r="N241" t="s">
        <v>31</v>
      </c>
      <c r="O241" t="s">
        <v>32</v>
      </c>
      <c r="P241" t="s">
        <v>33</v>
      </c>
      <c r="Q241" t="s">
        <v>146</v>
      </c>
      <c r="R241" t="s">
        <v>665</v>
      </c>
      <c r="S241" t="s">
        <v>36</v>
      </c>
      <c r="T241" t="s">
        <v>179</v>
      </c>
      <c r="U241" t="s">
        <v>180</v>
      </c>
      <c r="V241" t="s">
        <v>181</v>
      </c>
      <c r="W241">
        <v>6</v>
      </c>
    </row>
    <row r="242" spans="1:23" x14ac:dyDescent="0.3">
      <c r="A242">
        <v>49303285</v>
      </c>
      <c r="B242" s="1">
        <v>46053</v>
      </c>
      <c r="C242">
        <v>31</v>
      </c>
      <c r="D242">
        <v>1</v>
      </c>
      <c r="E242">
        <v>2026</v>
      </c>
      <c r="F242" t="s">
        <v>23</v>
      </c>
      <c r="G242" t="s">
        <v>24</v>
      </c>
      <c r="H242" t="s">
        <v>25</v>
      </c>
      <c r="I242" t="s">
        <v>150</v>
      </c>
      <c r="J242" t="s">
        <v>151</v>
      </c>
      <c r="K242" t="s">
        <v>28</v>
      </c>
      <c r="L242" t="s">
        <v>29</v>
      </c>
      <c r="M242" t="s">
        <v>30</v>
      </c>
      <c r="N242" t="s">
        <v>31</v>
      </c>
      <c r="O242" t="s">
        <v>32</v>
      </c>
      <c r="P242" t="s">
        <v>125</v>
      </c>
      <c r="Q242" t="s">
        <v>152</v>
      </c>
      <c r="R242" t="s">
        <v>671</v>
      </c>
      <c r="S242" t="s">
        <v>36</v>
      </c>
      <c r="T242" t="s">
        <v>179</v>
      </c>
      <c r="U242" t="s">
        <v>180</v>
      </c>
      <c r="V242" t="s">
        <v>181</v>
      </c>
      <c r="W242">
        <v>8</v>
      </c>
    </row>
    <row r="243" spans="1:23" x14ac:dyDescent="0.3">
      <c r="A243">
        <v>49620074</v>
      </c>
      <c r="B243" s="1">
        <v>46059</v>
      </c>
      <c r="C243">
        <v>6</v>
      </c>
      <c r="D243">
        <v>2</v>
      </c>
      <c r="E243">
        <v>2026</v>
      </c>
      <c r="F243" t="s">
        <v>23</v>
      </c>
      <c r="G243" t="s">
        <v>24</v>
      </c>
      <c r="H243" t="s">
        <v>25</v>
      </c>
      <c r="I243" t="s">
        <v>281</v>
      </c>
      <c r="J243" t="s">
        <v>282</v>
      </c>
      <c r="K243" t="s">
        <v>28</v>
      </c>
      <c r="L243" t="s">
        <v>29</v>
      </c>
      <c r="M243" t="s">
        <v>30</v>
      </c>
      <c r="N243" t="s">
        <v>31</v>
      </c>
      <c r="O243" t="s">
        <v>32</v>
      </c>
      <c r="P243" t="s">
        <v>283</v>
      </c>
      <c r="Q243" t="s">
        <v>284</v>
      </c>
      <c r="R243" t="s">
        <v>672</v>
      </c>
      <c r="S243" t="s">
        <v>47</v>
      </c>
      <c r="T243" t="s">
        <v>113</v>
      </c>
      <c r="U243" t="s">
        <v>301</v>
      </c>
      <c r="V243" t="s">
        <v>673</v>
      </c>
      <c r="W243">
        <v>7</v>
      </c>
    </row>
    <row r="244" spans="1:23" x14ac:dyDescent="0.3">
      <c r="A244">
        <v>49323240</v>
      </c>
      <c r="B244" s="1">
        <v>46054</v>
      </c>
      <c r="C244">
        <v>1</v>
      </c>
      <c r="D244">
        <v>2</v>
      </c>
      <c r="E244">
        <v>2026</v>
      </c>
      <c r="F244" t="s">
        <v>23</v>
      </c>
      <c r="G244" t="s">
        <v>24</v>
      </c>
      <c r="H244" t="s">
        <v>25</v>
      </c>
      <c r="I244" t="s">
        <v>26</v>
      </c>
      <c r="J244" t="s">
        <v>27</v>
      </c>
      <c r="K244" t="s">
        <v>28</v>
      </c>
      <c r="L244" t="s">
        <v>29</v>
      </c>
      <c r="M244" t="s">
        <v>30</v>
      </c>
      <c r="N244" t="s">
        <v>31</v>
      </c>
      <c r="O244" t="s">
        <v>32</v>
      </c>
      <c r="P244" t="s">
        <v>33</v>
      </c>
      <c r="Q244" t="s">
        <v>34</v>
      </c>
      <c r="R244" t="s">
        <v>331</v>
      </c>
      <c r="S244" t="s">
        <v>47</v>
      </c>
      <c r="T244" t="s">
        <v>101</v>
      </c>
      <c r="U244" t="s">
        <v>128</v>
      </c>
      <c r="V244" t="s">
        <v>332</v>
      </c>
      <c r="W244">
        <v>9</v>
      </c>
    </row>
    <row r="245" spans="1:23" x14ac:dyDescent="0.3">
      <c r="A245">
        <v>48995013</v>
      </c>
      <c r="B245" s="1">
        <v>46045</v>
      </c>
      <c r="C245">
        <v>23</v>
      </c>
      <c r="D245">
        <v>1</v>
      </c>
      <c r="E245">
        <v>2026</v>
      </c>
      <c r="F245" t="s">
        <v>23</v>
      </c>
      <c r="G245" t="s">
        <v>24</v>
      </c>
      <c r="H245" t="s">
        <v>25</v>
      </c>
      <c r="I245" t="s">
        <v>420</v>
      </c>
      <c r="J245" t="s">
        <v>421</v>
      </c>
      <c r="K245" t="s">
        <v>28</v>
      </c>
      <c r="L245" t="s">
        <v>29</v>
      </c>
      <c r="M245" t="s">
        <v>30</v>
      </c>
      <c r="N245" t="s">
        <v>42</v>
      </c>
      <c r="O245" t="s">
        <v>43</v>
      </c>
      <c r="P245" t="s">
        <v>44</v>
      </c>
      <c r="Q245" t="s">
        <v>391</v>
      </c>
      <c r="R245" t="s">
        <v>674</v>
      </c>
      <c r="S245" t="s">
        <v>47</v>
      </c>
      <c r="T245" t="s">
        <v>48</v>
      </c>
      <c r="U245" t="s">
        <v>203</v>
      </c>
      <c r="V245" t="s">
        <v>204</v>
      </c>
      <c r="W245">
        <v>9</v>
      </c>
    </row>
    <row r="246" spans="1:23" x14ac:dyDescent="0.3">
      <c r="A246">
        <v>49620072</v>
      </c>
      <c r="B246" s="1">
        <v>46059</v>
      </c>
      <c r="C246">
        <v>6</v>
      </c>
      <c r="D246">
        <v>2</v>
      </c>
      <c r="E246">
        <v>2026</v>
      </c>
      <c r="F246" t="s">
        <v>23</v>
      </c>
      <c r="G246" t="s">
        <v>24</v>
      </c>
      <c r="H246" t="s">
        <v>25</v>
      </c>
      <c r="I246" t="s">
        <v>26</v>
      </c>
      <c r="J246" t="s">
        <v>27</v>
      </c>
      <c r="K246" t="s">
        <v>28</v>
      </c>
      <c r="L246" t="s">
        <v>29</v>
      </c>
      <c r="M246" t="s">
        <v>30</v>
      </c>
      <c r="N246" t="s">
        <v>31</v>
      </c>
      <c r="O246" t="s">
        <v>32</v>
      </c>
      <c r="P246" t="s">
        <v>33</v>
      </c>
      <c r="Q246" t="s">
        <v>34</v>
      </c>
      <c r="R246" t="s">
        <v>257</v>
      </c>
      <c r="S246" t="s">
        <v>47</v>
      </c>
      <c r="T246" t="s">
        <v>113</v>
      </c>
      <c r="U246" t="s">
        <v>255</v>
      </c>
      <c r="V246" t="s">
        <v>256</v>
      </c>
      <c r="W246">
        <v>0</v>
      </c>
    </row>
    <row r="247" spans="1:23" x14ac:dyDescent="0.3">
      <c r="A247">
        <v>49298816</v>
      </c>
      <c r="B247" s="1">
        <v>46053</v>
      </c>
      <c r="C247">
        <v>31</v>
      </c>
      <c r="D247">
        <v>1</v>
      </c>
      <c r="E247">
        <v>2026</v>
      </c>
      <c r="F247" t="s">
        <v>23</v>
      </c>
      <c r="G247" t="s">
        <v>24</v>
      </c>
      <c r="H247" t="s">
        <v>25</v>
      </c>
      <c r="I247" t="s">
        <v>251</v>
      </c>
      <c r="J247" t="s">
        <v>252</v>
      </c>
      <c r="K247" t="s">
        <v>28</v>
      </c>
      <c r="L247" t="s">
        <v>29</v>
      </c>
      <c r="M247" t="s">
        <v>30</v>
      </c>
      <c r="N247" t="s">
        <v>31</v>
      </c>
      <c r="O247" t="s">
        <v>32</v>
      </c>
      <c r="P247" t="s">
        <v>125</v>
      </c>
      <c r="Q247" t="s">
        <v>253</v>
      </c>
      <c r="R247" t="s">
        <v>675</v>
      </c>
      <c r="S247" t="s">
        <v>36</v>
      </c>
      <c r="T247" t="s">
        <v>179</v>
      </c>
      <c r="U247" t="s">
        <v>180</v>
      </c>
      <c r="V247" t="s">
        <v>181</v>
      </c>
      <c r="W247">
        <v>2</v>
      </c>
    </row>
    <row r="248" spans="1:23" x14ac:dyDescent="0.3">
      <c r="A248">
        <v>49642037</v>
      </c>
      <c r="B248" s="1">
        <v>46053</v>
      </c>
      <c r="C248">
        <v>31</v>
      </c>
      <c r="D248">
        <v>1</v>
      </c>
      <c r="E248">
        <v>2026</v>
      </c>
      <c r="F248" t="s">
        <v>51</v>
      </c>
      <c r="G248" t="s">
        <v>52</v>
      </c>
      <c r="H248" t="s">
        <v>53</v>
      </c>
      <c r="I248" t="s">
        <v>676</v>
      </c>
      <c r="J248" t="s">
        <v>677</v>
      </c>
      <c r="K248" t="s">
        <v>28</v>
      </c>
      <c r="L248" t="s">
        <v>56</v>
      </c>
      <c r="M248" t="s">
        <v>57</v>
      </c>
      <c r="N248" t="s">
        <v>58</v>
      </c>
      <c r="O248" t="s">
        <v>59</v>
      </c>
      <c r="P248" t="s">
        <v>60</v>
      </c>
      <c r="Q248" t="s">
        <v>678</v>
      </c>
      <c r="R248" t="s">
        <v>62</v>
      </c>
      <c r="S248" t="s">
        <v>63</v>
      </c>
      <c r="T248" t="s">
        <v>64</v>
      </c>
      <c r="U248" t="s">
        <v>65</v>
      </c>
      <c r="V248" t="s">
        <v>66</v>
      </c>
      <c r="W248">
        <v>5</v>
      </c>
    </row>
    <row r="249" spans="1:23" x14ac:dyDescent="0.3">
      <c r="A249">
        <v>49513293</v>
      </c>
      <c r="B249" s="1">
        <v>46057</v>
      </c>
      <c r="C249">
        <v>4</v>
      </c>
      <c r="D249">
        <v>2</v>
      </c>
      <c r="E249">
        <v>2026</v>
      </c>
      <c r="F249" t="s">
        <v>23</v>
      </c>
      <c r="G249" t="s">
        <v>24</v>
      </c>
      <c r="H249" t="s">
        <v>25</v>
      </c>
      <c r="I249" t="s">
        <v>514</v>
      </c>
      <c r="J249" t="s">
        <v>515</v>
      </c>
      <c r="K249" t="s">
        <v>28</v>
      </c>
      <c r="L249" t="s">
        <v>29</v>
      </c>
      <c r="M249" t="s">
        <v>30</v>
      </c>
      <c r="N249" t="s">
        <v>31</v>
      </c>
      <c r="O249" t="s">
        <v>132</v>
      </c>
      <c r="P249" t="s">
        <v>133</v>
      </c>
      <c r="Q249" t="s">
        <v>516</v>
      </c>
      <c r="R249" t="s">
        <v>39</v>
      </c>
      <c r="S249" t="s">
        <v>36</v>
      </c>
      <c r="T249" t="s">
        <v>37</v>
      </c>
      <c r="U249" t="s">
        <v>38</v>
      </c>
      <c r="V249" t="s">
        <v>39</v>
      </c>
      <c r="W249">
        <v>7</v>
      </c>
    </row>
    <row r="250" spans="1:23" x14ac:dyDescent="0.3">
      <c r="A250">
        <v>49303953</v>
      </c>
      <c r="B250" s="1">
        <v>46054</v>
      </c>
      <c r="C250">
        <v>1</v>
      </c>
      <c r="D250">
        <v>2</v>
      </c>
      <c r="E250">
        <v>2026</v>
      </c>
      <c r="F250" t="s">
        <v>23</v>
      </c>
      <c r="G250" t="s">
        <v>24</v>
      </c>
      <c r="H250" t="s">
        <v>25</v>
      </c>
      <c r="I250" t="s">
        <v>123</v>
      </c>
      <c r="J250" t="s">
        <v>124</v>
      </c>
      <c r="K250" t="s">
        <v>28</v>
      </c>
      <c r="L250" t="s">
        <v>29</v>
      </c>
      <c r="M250" t="s">
        <v>30</v>
      </c>
      <c r="N250" t="s">
        <v>31</v>
      </c>
      <c r="O250" t="s">
        <v>32</v>
      </c>
      <c r="P250" t="s">
        <v>125</v>
      </c>
      <c r="Q250" t="s">
        <v>126</v>
      </c>
      <c r="R250" t="s">
        <v>679</v>
      </c>
      <c r="S250" t="s">
        <v>63</v>
      </c>
      <c r="T250" t="s">
        <v>154</v>
      </c>
      <c r="U250" t="s">
        <v>155</v>
      </c>
      <c r="V250" t="s">
        <v>156</v>
      </c>
      <c r="W250">
        <v>9</v>
      </c>
    </row>
    <row r="251" spans="1:23" x14ac:dyDescent="0.3">
      <c r="A251">
        <v>50023786</v>
      </c>
      <c r="B251" s="1">
        <v>46066</v>
      </c>
      <c r="C251">
        <v>13</v>
      </c>
      <c r="D251">
        <v>2</v>
      </c>
      <c r="E251">
        <v>2026</v>
      </c>
      <c r="F251" t="s">
        <v>23</v>
      </c>
      <c r="G251" t="s">
        <v>24</v>
      </c>
      <c r="H251" t="s">
        <v>25</v>
      </c>
      <c r="I251" t="s">
        <v>158</v>
      </c>
      <c r="J251" t="s">
        <v>159</v>
      </c>
      <c r="K251" t="s">
        <v>28</v>
      </c>
      <c r="L251" t="s">
        <v>29</v>
      </c>
      <c r="M251" t="s">
        <v>30</v>
      </c>
      <c r="N251" t="s">
        <v>31</v>
      </c>
      <c r="O251" t="s">
        <v>160</v>
      </c>
      <c r="P251" t="s">
        <v>161</v>
      </c>
      <c r="Q251" t="s">
        <v>162</v>
      </c>
      <c r="R251" t="s">
        <v>393</v>
      </c>
      <c r="S251" t="s">
        <v>63</v>
      </c>
      <c r="T251" t="s">
        <v>164</v>
      </c>
      <c r="U251" t="s">
        <v>293</v>
      </c>
      <c r="V251" t="s">
        <v>314</v>
      </c>
      <c r="W251">
        <v>3</v>
      </c>
    </row>
    <row r="252" spans="1:23" x14ac:dyDescent="0.3">
      <c r="A252">
        <v>49733082</v>
      </c>
      <c r="B252" s="1">
        <v>46062</v>
      </c>
      <c r="C252">
        <v>9</v>
      </c>
      <c r="D252">
        <v>2</v>
      </c>
      <c r="E252">
        <v>2026</v>
      </c>
      <c r="F252" t="s">
        <v>82</v>
      </c>
      <c r="G252" t="s">
        <v>83</v>
      </c>
      <c r="H252" t="s">
        <v>84</v>
      </c>
      <c r="I252" t="s">
        <v>85</v>
      </c>
      <c r="J252" t="s">
        <v>86</v>
      </c>
      <c r="K252" t="s">
        <v>28</v>
      </c>
      <c r="L252" t="s">
        <v>56</v>
      </c>
      <c r="M252" t="s">
        <v>87</v>
      </c>
      <c r="N252" t="s">
        <v>88</v>
      </c>
      <c r="O252" t="s">
        <v>89</v>
      </c>
      <c r="P252" t="s">
        <v>90</v>
      </c>
      <c r="Q252" t="s">
        <v>91</v>
      </c>
      <c r="R252" t="s">
        <v>680</v>
      </c>
      <c r="S252" t="s">
        <v>47</v>
      </c>
      <c r="T252" t="s">
        <v>574</v>
      </c>
      <c r="U252" t="s">
        <v>681</v>
      </c>
      <c r="V252" t="s">
        <v>682</v>
      </c>
      <c r="W252">
        <v>2</v>
      </c>
    </row>
    <row r="253" spans="1:23" x14ac:dyDescent="0.3">
      <c r="A253">
        <v>49889539</v>
      </c>
      <c r="B253" s="1">
        <v>46064</v>
      </c>
      <c r="C253">
        <v>11</v>
      </c>
      <c r="D253">
        <v>2</v>
      </c>
      <c r="E253">
        <v>2026</v>
      </c>
      <c r="F253" t="s">
        <v>23</v>
      </c>
      <c r="G253" t="s">
        <v>24</v>
      </c>
      <c r="H253" t="s">
        <v>25</v>
      </c>
      <c r="I253" t="s">
        <v>385</v>
      </c>
      <c r="J253" t="s">
        <v>386</v>
      </c>
      <c r="K253" t="s">
        <v>28</v>
      </c>
      <c r="L253" t="s">
        <v>29</v>
      </c>
      <c r="M253" t="s">
        <v>30</v>
      </c>
      <c r="N253" t="s">
        <v>31</v>
      </c>
      <c r="O253" t="s">
        <v>138</v>
      </c>
      <c r="P253" t="s">
        <v>348</v>
      </c>
      <c r="Q253" t="s">
        <v>387</v>
      </c>
      <c r="R253" t="s">
        <v>526</v>
      </c>
      <c r="S253" t="s">
        <v>63</v>
      </c>
      <c r="T253" t="s">
        <v>164</v>
      </c>
      <c r="U253" t="s">
        <v>165</v>
      </c>
      <c r="V253" t="s">
        <v>527</v>
      </c>
      <c r="W253">
        <v>6</v>
      </c>
    </row>
    <row r="254" spans="1:23" x14ac:dyDescent="0.3">
      <c r="A254">
        <v>49304150</v>
      </c>
      <c r="B254" s="1">
        <v>46054</v>
      </c>
      <c r="C254">
        <v>1</v>
      </c>
      <c r="D254">
        <v>2</v>
      </c>
      <c r="E254">
        <v>2026</v>
      </c>
      <c r="F254" t="s">
        <v>23</v>
      </c>
      <c r="G254" t="s">
        <v>24</v>
      </c>
      <c r="H254" t="s">
        <v>25</v>
      </c>
      <c r="I254" t="s">
        <v>158</v>
      </c>
      <c r="J254" t="s">
        <v>159</v>
      </c>
      <c r="K254" t="s">
        <v>28</v>
      </c>
      <c r="L254" t="s">
        <v>29</v>
      </c>
      <c r="M254" t="s">
        <v>30</v>
      </c>
      <c r="N254" t="s">
        <v>31</v>
      </c>
      <c r="O254" t="s">
        <v>160</v>
      </c>
      <c r="P254" t="s">
        <v>161</v>
      </c>
      <c r="Q254" t="s">
        <v>162</v>
      </c>
      <c r="R254" t="s">
        <v>170</v>
      </c>
      <c r="S254" t="s">
        <v>63</v>
      </c>
      <c r="T254" t="s">
        <v>154</v>
      </c>
      <c r="U254" t="s">
        <v>155</v>
      </c>
      <c r="V254" t="s">
        <v>171</v>
      </c>
      <c r="W254">
        <v>5</v>
      </c>
    </row>
    <row r="255" spans="1:23" x14ac:dyDescent="0.3">
      <c r="A255">
        <v>48742841</v>
      </c>
      <c r="B255" s="1">
        <v>46043</v>
      </c>
      <c r="C255">
        <v>21</v>
      </c>
      <c r="D255">
        <v>1</v>
      </c>
      <c r="E255">
        <v>2026</v>
      </c>
      <c r="F255" t="s">
        <v>23</v>
      </c>
      <c r="G255" t="s">
        <v>24</v>
      </c>
      <c r="H255" t="s">
        <v>25</v>
      </c>
      <c r="I255" t="s">
        <v>40</v>
      </c>
      <c r="J255" t="s">
        <v>41</v>
      </c>
      <c r="K255" t="s">
        <v>28</v>
      </c>
      <c r="L255" t="s">
        <v>29</v>
      </c>
      <c r="M255" t="s">
        <v>30</v>
      </c>
      <c r="N255" t="s">
        <v>42</v>
      </c>
      <c r="O255" t="s">
        <v>43</v>
      </c>
      <c r="P255" t="s">
        <v>44</v>
      </c>
      <c r="Q255" t="s">
        <v>45</v>
      </c>
      <c r="R255" t="s">
        <v>683</v>
      </c>
      <c r="S255" t="s">
        <v>47</v>
      </c>
      <c r="T255" t="s">
        <v>113</v>
      </c>
      <c r="U255" t="s">
        <v>684</v>
      </c>
      <c r="V255" t="s">
        <v>685</v>
      </c>
      <c r="W255">
        <v>8</v>
      </c>
    </row>
    <row r="256" spans="1:23" x14ac:dyDescent="0.3">
      <c r="A256">
        <v>49888484</v>
      </c>
      <c r="B256" s="1">
        <v>46064</v>
      </c>
      <c r="C256">
        <v>11</v>
      </c>
      <c r="D256">
        <v>2</v>
      </c>
      <c r="E256">
        <v>2026</v>
      </c>
      <c r="F256" t="s">
        <v>23</v>
      </c>
      <c r="G256" t="s">
        <v>24</v>
      </c>
      <c r="H256" t="s">
        <v>25</v>
      </c>
      <c r="I256" t="s">
        <v>235</v>
      </c>
      <c r="J256" t="s">
        <v>236</v>
      </c>
      <c r="K256" t="s">
        <v>28</v>
      </c>
      <c r="L256" t="s">
        <v>29</v>
      </c>
      <c r="M256" t="s">
        <v>30</v>
      </c>
      <c r="N256" t="s">
        <v>31</v>
      </c>
      <c r="O256" t="s">
        <v>32</v>
      </c>
      <c r="P256" t="s">
        <v>237</v>
      </c>
      <c r="Q256" t="s">
        <v>238</v>
      </c>
      <c r="R256" t="s">
        <v>686</v>
      </c>
      <c r="S256" t="s">
        <v>47</v>
      </c>
      <c r="T256" t="s">
        <v>113</v>
      </c>
      <c r="U256" t="s">
        <v>114</v>
      </c>
      <c r="V256" t="s">
        <v>115</v>
      </c>
      <c r="W256">
        <v>9</v>
      </c>
    </row>
    <row r="257" spans="1:23" x14ac:dyDescent="0.3">
      <c r="A257">
        <v>49303287</v>
      </c>
      <c r="B257" s="1">
        <v>46053</v>
      </c>
      <c r="C257">
        <v>31</v>
      </c>
      <c r="D257">
        <v>1</v>
      </c>
      <c r="E257">
        <v>2026</v>
      </c>
      <c r="F257" t="s">
        <v>23</v>
      </c>
      <c r="G257" t="s">
        <v>24</v>
      </c>
      <c r="H257" t="s">
        <v>25</v>
      </c>
      <c r="I257" t="s">
        <v>687</v>
      </c>
      <c r="J257" t="s">
        <v>688</v>
      </c>
      <c r="K257" t="s">
        <v>28</v>
      </c>
      <c r="L257" t="s">
        <v>29</v>
      </c>
      <c r="M257" t="s">
        <v>30</v>
      </c>
      <c r="N257" t="s">
        <v>31</v>
      </c>
      <c r="O257" t="s">
        <v>138</v>
      </c>
      <c r="P257" t="s">
        <v>689</v>
      </c>
      <c r="Q257" t="s">
        <v>690</v>
      </c>
      <c r="R257" t="s">
        <v>691</v>
      </c>
      <c r="S257" t="s">
        <v>36</v>
      </c>
      <c r="T257" t="s">
        <v>179</v>
      </c>
      <c r="U257" t="s">
        <v>180</v>
      </c>
      <c r="V257" t="s">
        <v>181</v>
      </c>
      <c r="W257">
        <v>0</v>
      </c>
    </row>
    <row r="258" spans="1:23" x14ac:dyDescent="0.3">
      <c r="A258">
        <v>48675302</v>
      </c>
      <c r="B258" s="1">
        <v>46038</v>
      </c>
      <c r="C258">
        <v>16</v>
      </c>
      <c r="D258">
        <v>1</v>
      </c>
      <c r="E258">
        <v>2026</v>
      </c>
      <c r="F258" t="s">
        <v>23</v>
      </c>
      <c r="G258" t="s">
        <v>24</v>
      </c>
      <c r="H258" t="s">
        <v>25</v>
      </c>
      <c r="I258" t="s">
        <v>150</v>
      </c>
      <c r="J258" t="s">
        <v>151</v>
      </c>
      <c r="K258" t="s">
        <v>28</v>
      </c>
      <c r="L258" t="s">
        <v>29</v>
      </c>
      <c r="M258" t="s">
        <v>30</v>
      </c>
      <c r="N258" t="s">
        <v>31</v>
      </c>
      <c r="O258" t="s">
        <v>32</v>
      </c>
      <c r="P258" t="s">
        <v>125</v>
      </c>
      <c r="Q258" t="s">
        <v>152</v>
      </c>
      <c r="R258" t="s">
        <v>692</v>
      </c>
      <c r="S258" t="s">
        <v>47</v>
      </c>
      <c r="T258" t="s">
        <v>113</v>
      </c>
      <c r="U258" t="s">
        <v>693</v>
      </c>
      <c r="V258" t="s">
        <v>694</v>
      </c>
      <c r="W258">
        <v>1</v>
      </c>
    </row>
    <row r="259" spans="1:23" x14ac:dyDescent="0.3">
      <c r="A259">
        <v>49888487</v>
      </c>
      <c r="B259" s="1">
        <v>46064</v>
      </c>
      <c r="C259">
        <v>11</v>
      </c>
      <c r="D259">
        <v>2</v>
      </c>
      <c r="E259">
        <v>2026</v>
      </c>
      <c r="F259" t="s">
        <v>23</v>
      </c>
      <c r="G259" t="s">
        <v>24</v>
      </c>
      <c r="H259" t="s">
        <v>25</v>
      </c>
      <c r="I259" t="s">
        <v>295</v>
      </c>
      <c r="J259" t="s">
        <v>296</v>
      </c>
      <c r="K259" t="s">
        <v>28</v>
      </c>
      <c r="L259" t="s">
        <v>29</v>
      </c>
      <c r="M259" t="s">
        <v>30</v>
      </c>
      <c r="N259" t="s">
        <v>31</v>
      </c>
      <c r="O259" t="s">
        <v>132</v>
      </c>
      <c r="P259" t="s">
        <v>133</v>
      </c>
      <c r="Q259" t="s">
        <v>297</v>
      </c>
      <c r="R259" t="s">
        <v>112</v>
      </c>
      <c r="S259" t="s">
        <v>47</v>
      </c>
      <c r="T259" t="s">
        <v>113</v>
      </c>
      <c r="U259" t="s">
        <v>114</v>
      </c>
      <c r="V259" t="s">
        <v>115</v>
      </c>
      <c r="W259">
        <v>0</v>
      </c>
    </row>
    <row r="260" spans="1:23" x14ac:dyDescent="0.3">
      <c r="A260">
        <v>48995015</v>
      </c>
      <c r="B260" s="1">
        <v>46045</v>
      </c>
      <c r="C260">
        <v>23</v>
      </c>
      <c r="D260">
        <v>1</v>
      </c>
      <c r="E260">
        <v>2026</v>
      </c>
      <c r="F260" t="s">
        <v>23</v>
      </c>
      <c r="G260" t="s">
        <v>24</v>
      </c>
      <c r="H260" t="s">
        <v>25</v>
      </c>
      <c r="I260" t="s">
        <v>136</v>
      </c>
      <c r="J260" t="s">
        <v>137</v>
      </c>
      <c r="K260" t="s">
        <v>28</v>
      </c>
      <c r="L260" t="s">
        <v>29</v>
      </c>
      <c r="M260" t="s">
        <v>30</v>
      </c>
      <c r="N260" t="s">
        <v>31</v>
      </c>
      <c r="O260" t="s">
        <v>138</v>
      </c>
      <c r="P260" t="s">
        <v>139</v>
      </c>
      <c r="Q260" t="s">
        <v>140</v>
      </c>
      <c r="R260" t="s">
        <v>695</v>
      </c>
      <c r="S260" t="s">
        <v>47</v>
      </c>
      <c r="T260" t="s">
        <v>48</v>
      </c>
      <c r="U260" t="s">
        <v>203</v>
      </c>
      <c r="V260" t="s">
        <v>204</v>
      </c>
      <c r="W260">
        <v>1</v>
      </c>
    </row>
    <row r="261" spans="1:23" x14ac:dyDescent="0.3">
      <c r="A261">
        <v>50020361</v>
      </c>
      <c r="B261" s="1">
        <v>46067</v>
      </c>
      <c r="C261">
        <v>14</v>
      </c>
      <c r="D261">
        <v>2</v>
      </c>
      <c r="E261">
        <v>2026</v>
      </c>
      <c r="F261" t="s">
        <v>23</v>
      </c>
      <c r="G261" t="s">
        <v>24</v>
      </c>
      <c r="H261" t="s">
        <v>25</v>
      </c>
      <c r="I261" t="s">
        <v>26</v>
      </c>
      <c r="J261" t="s">
        <v>27</v>
      </c>
      <c r="K261" t="s">
        <v>28</v>
      </c>
      <c r="L261" t="s">
        <v>29</v>
      </c>
      <c r="M261" t="s">
        <v>30</v>
      </c>
      <c r="N261" t="s">
        <v>31</v>
      </c>
      <c r="O261" t="s">
        <v>32</v>
      </c>
      <c r="P261" t="s">
        <v>33</v>
      </c>
      <c r="Q261" t="s">
        <v>34</v>
      </c>
      <c r="R261" t="s">
        <v>696</v>
      </c>
      <c r="S261" t="s">
        <v>36</v>
      </c>
      <c r="T261" t="s">
        <v>334</v>
      </c>
      <c r="U261" t="s">
        <v>697</v>
      </c>
      <c r="V261" t="s">
        <v>698</v>
      </c>
      <c r="W261">
        <v>1</v>
      </c>
    </row>
    <row r="262" spans="1:23" x14ac:dyDescent="0.3">
      <c r="A262">
        <v>49724496</v>
      </c>
      <c r="B262" s="1">
        <v>46050</v>
      </c>
      <c r="C262">
        <v>28</v>
      </c>
      <c r="D262">
        <v>1</v>
      </c>
      <c r="E262">
        <v>2026</v>
      </c>
      <c r="F262" t="s">
        <v>23</v>
      </c>
      <c r="G262" t="s">
        <v>24</v>
      </c>
      <c r="H262" t="s">
        <v>25</v>
      </c>
      <c r="I262" t="s">
        <v>251</v>
      </c>
      <c r="J262" t="s">
        <v>252</v>
      </c>
      <c r="K262" t="s">
        <v>28</v>
      </c>
      <c r="L262" t="s">
        <v>29</v>
      </c>
      <c r="M262" t="s">
        <v>30</v>
      </c>
      <c r="N262" t="s">
        <v>31</v>
      </c>
      <c r="O262" t="s">
        <v>32</v>
      </c>
      <c r="P262" t="s">
        <v>125</v>
      </c>
      <c r="Q262" t="s">
        <v>253</v>
      </c>
      <c r="R262" t="s">
        <v>699</v>
      </c>
      <c r="S262" t="s">
        <v>47</v>
      </c>
      <c r="T262" t="s">
        <v>113</v>
      </c>
      <c r="U262" t="s">
        <v>148</v>
      </c>
      <c r="V262" t="s">
        <v>149</v>
      </c>
      <c r="W262">
        <v>1</v>
      </c>
    </row>
    <row r="263" spans="1:23" x14ac:dyDescent="0.3">
      <c r="A263">
        <v>49724554</v>
      </c>
      <c r="B263" s="1">
        <v>46061</v>
      </c>
      <c r="C263">
        <v>8</v>
      </c>
      <c r="D263">
        <v>2</v>
      </c>
      <c r="E263">
        <v>2026</v>
      </c>
      <c r="F263" t="s">
        <v>23</v>
      </c>
      <c r="G263" t="s">
        <v>24</v>
      </c>
      <c r="H263" t="s">
        <v>25</v>
      </c>
      <c r="I263" t="s">
        <v>150</v>
      </c>
      <c r="J263" t="s">
        <v>151</v>
      </c>
      <c r="K263" t="s">
        <v>28</v>
      </c>
      <c r="L263" t="s">
        <v>29</v>
      </c>
      <c r="M263" t="s">
        <v>30</v>
      </c>
      <c r="N263" t="s">
        <v>31</v>
      </c>
      <c r="O263" t="s">
        <v>32</v>
      </c>
      <c r="P263" t="s">
        <v>125</v>
      </c>
      <c r="Q263" t="s">
        <v>152</v>
      </c>
      <c r="R263" t="s">
        <v>700</v>
      </c>
      <c r="S263" t="s">
        <v>47</v>
      </c>
      <c r="T263" t="s">
        <v>101</v>
      </c>
      <c r="U263" t="s">
        <v>701</v>
      </c>
      <c r="V263" t="s">
        <v>700</v>
      </c>
      <c r="W263">
        <v>0</v>
      </c>
    </row>
    <row r="264" spans="1:23" x14ac:dyDescent="0.3">
      <c r="A264">
        <v>50326052</v>
      </c>
      <c r="B264" s="1">
        <v>46075</v>
      </c>
      <c r="C264">
        <v>22</v>
      </c>
      <c r="D264">
        <v>2</v>
      </c>
      <c r="E264">
        <v>2026</v>
      </c>
      <c r="F264" t="s">
        <v>51</v>
      </c>
      <c r="G264" t="s">
        <v>52</v>
      </c>
      <c r="H264" t="s">
        <v>53</v>
      </c>
      <c r="I264" t="s">
        <v>213</v>
      </c>
      <c r="J264" t="s">
        <v>214</v>
      </c>
      <c r="K264" t="s">
        <v>28</v>
      </c>
      <c r="L264" t="s">
        <v>56</v>
      </c>
      <c r="M264" t="s">
        <v>57</v>
      </c>
      <c r="N264" t="s">
        <v>58</v>
      </c>
      <c r="O264" t="s">
        <v>59</v>
      </c>
      <c r="P264" t="s">
        <v>60</v>
      </c>
      <c r="Q264" t="s">
        <v>215</v>
      </c>
      <c r="R264" t="s">
        <v>497</v>
      </c>
      <c r="S264" t="s">
        <v>36</v>
      </c>
      <c r="T264" t="s">
        <v>37</v>
      </c>
      <c r="U264" t="s">
        <v>498</v>
      </c>
      <c r="V264" t="s">
        <v>499</v>
      </c>
      <c r="W264">
        <v>2</v>
      </c>
    </row>
    <row r="265" spans="1:23" x14ac:dyDescent="0.3">
      <c r="A265">
        <v>49622602</v>
      </c>
      <c r="B265" s="1">
        <v>46053</v>
      </c>
      <c r="C265">
        <v>31</v>
      </c>
      <c r="D265">
        <v>1</v>
      </c>
      <c r="E265">
        <v>2026</v>
      </c>
      <c r="F265" t="s">
        <v>51</v>
      </c>
      <c r="G265" t="s">
        <v>52</v>
      </c>
      <c r="H265" t="s">
        <v>53</v>
      </c>
      <c r="I265" t="s">
        <v>206</v>
      </c>
      <c r="J265" t="s">
        <v>207</v>
      </c>
      <c r="K265" t="s">
        <v>28</v>
      </c>
      <c r="L265" t="s">
        <v>56</v>
      </c>
      <c r="M265" t="s">
        <v>57</v>
      </c>
      <c r="N265" t="s">
        <v>58</v>
      </c>
      <c r="O265" t="s">
        <v>59</v>
      </c>
      <c r="P265" t="s">
        <v>60</v>
      </c>
      <c r="Q265" t="s">
        <v>208</v>
      </c>
      <c r="R265" t="s">
        <v>62</v>
      </c>
      <c r="S265" t="s">
        <v>63</v>
      </c>
      <c r="T265" t="s">
        <v>64</v>
      </c>
      <c r="U265" t="s">
        <v>65</v>
      </c>
      <c r="V265" t="s">
        <v>66</v>
      </c>
      <c r="W265">
        <v>3</v>
      </c>
    </row>
    <row r="266" spans="1:23" x14ac:dyDescent="0.3">
      <c r="A266">
        <v>49724559</v>
      </c>
      <c r="B266" s="1">
        <v>46062</v>
      </c>
      <c r="C266">
        <v>9</v>
      </c>
      <c r="D266">
        <v>2</v>
      </c>
      <c r="E266">
        <v>2026</v>
      </c>
      <c r="F266" t="s">
        <v>23</v>
      </c>
      <c r="G266" t="s">
        <v>24</v>
      </c>
      <c r="H266" t="s">
        <v>25</v>
      </c>
      <c r="I266" t="s">
        <v>281</v>
      </c>
      <c r="J266" t="s">
        <v>282</v>
      </c>
      <c r="K266" t="s">
        <v>28</v>
      </c>
      <c r="L266" t="s">
        <v>29</v>
      </c>
      <c r="M266" t="s">
        <v>30</v>
      </c>
      <c r="N266" t="s">
        <v>31</v>
      </c>
      <c r="O266" t="s">
        <v>32</v>
      </c>
      <c r="P266" t="s">
        <v>283</v>
      </c>
      <c r="Q266" t="s">
        <v>284</v>
      </c>
      <c r="R266" t="s">
        <v>540</v>
      </c>
      <c r="S266" t="s">
        <v>47</v>
      </c>
      <c r="T266" t="s">
        <v>48</v>
      </c>
      <c r="U266" t="s">
        <v>142</v>
      </c>
      <c r="V266" t="s">
        <v>143</v>
      </c>
      <c r="W266">
        <v>4</v>
      </c>
    </row>
    <row r="267" spans="1:23" x14ac:dyDescent="0.3">
      <c r="A267">
        <v>48914263</v>
      </c>
      <c r="B267" s="1">
        <v>46046</v>
      </c>
      <c r="C267">
        <v>24</v>
      </c>
      <c r="D267">
        <v>1</v>
      </c>
      <c r="E267">
        <v>2026</v>
      </c>
      <c r="F267" t="s">
        <v>351</v>
      </c>
      <c r="G267" t="s">
        <v>352</v>
      </c>
      <c r="H267" t="s">
        <v>353</v>
      </c>
      <c r="I267" t="s">
        <v>354</v>
      </c>
      <c r="J267" t="s">
        <v>355</v>
      </c>
      <c r="K267" t="s">
        <v>28</v>
      </c>
      <c r="L267" t="s">
        <v>56</v>
      </c>
      <c r="M267" t="s">
        <v>57</v>
      </c>
      <c r="N267" t="s">
        <v>58</v>
      </c>
      <c r="O267" t="s">
        <v>289</v>
      </c>
      <c r="P267" t="s">
        <v>356</v>
      </c>
      <c r="Q267" t="s">
        <v>357</v>
      </c>
      <c r="R267" t="s">
        <v>702</v>
      </c>
      <c r="S267" t="s">
        <v>63</v>
      </c>
      <c r="T267" t="s">
        <v>64</v>
      </c>
      <c r="U267" t="s">
        <v>703</v>
      </c>
      <c r="V267" t="s">
        <v>704</v>
      </c>
      <c r="W267">
        <v>5</v>
      </c>
    </row>
    <row r="268" spans="1:23" x14ac:dyDescent="0.3">
      <c r="A268">
        <v>49298817</v>
      </c>
      <c r="B268" s="1">
        <v>46053</v>
      </c>
      <c r="C268">
        <v>31</v>
      </c>
      <c r="D268">
        <v>1</v>
      </c>
      <c r="E268">
        <v>2026</v>
      </c>
      <c r="F268" t="s">
        <v>23</v>
      </c>
      <c r="G268" t="s">
        <v>24</v>
      </c>
      <c r="H268" t="s">
        <v>25</v>
      </c>
      <c r="I268" t="s">
        <v>413</v>
      </c>
      <c r="J268" t="s">
        <v>414</v>
      </c>
      <c r="K268" t="s">
        <v>28</v>
      </c>
      <c r="L268" t="s">
        <v>29</v>
      </c>
      <c r="M268" t="s">
        <v>30</v>
      </c>
      <c r="N268" t="s">
        <v>31</v>
      </c>
      <c r="O268" t="s">
        <v>415</v>
      </c>
      <c r="P268" t="s">
        <v>416</v>
      </c>
      <c r="Q268" t="s">
        <v>417</v>
      </c>
      <c r="R268" t="s">
        <v>675</v>
      </c>
      <c r="S268" t="s">
        <v>36</v>
      </c>
      <c r="T268" t="s">
        <v>179</v>
      </c>
      <c r="U268" t="s">
        <v>180</v>
      </c>
      <c r="V268" t="s">
        <v>181</v>
      </c>
      <c r="W268">
        <v>6</v>
      </c>
    </row>
    <row r="269" spans="1:23" x14ac:dyDescent="0.3">
      <c r="A269">
        <v>49303280</v>
      </c>
      <c r="B269" s="1">
        <v>46053</v>
      </c>
      <c r="C269">
        <v>31</v>
      </c>
      <c r="D269">
        <v>1</v>
      </c>
      <c r="E269">
        <v>2026</v>
      </c>
      <c r="F269" t="s">
        <v>23</v>
      </c>
      <c r="G269" t="s">
        <v>24</v>
      </c>
      <c r="H269" t="s">
        <v>25</v>
      </c>
      <c r="I269" t="s">
        <v>144</v>
      </c>
      <c r="J269" t="s">
        <v>145</v>
      </c>
      <c r="K269" t="s">
        <v>28</v>
      </c>
      <c r="L269" t="s">
        <v>29</v>
      </c>
      <c r="M269" t="s">
        <v>30</v>
      </c>
      <c r="N269" t="s">
        <v>31</v>
      </c>
      <c r="O269" t="s">
        <v>32</v>
      </c>
      <c r="P269" t="s">
        <v>33</v>
      </c>
      <c r="Q269" t="s">
        <v>146</v>
      </c>
      <c r="R269" t="s">
        <v>705</v>
      </c>
      <c r="S269" t="s">
        <v>47</v>
      </c>
      <c r="T269" t="s">
        <v>120</v>
      </c>
      <c r="U269" t="s">
        <v>194</v>
      </c>
      <c r="V269" t="s">
        <v>223</v>
      </c>
      <c r="W269">
        <v>8</v>
      </c>
    </row>
    <row r="270" spans="1:23" x14ac:dyDescent="0.3">
      <c r="A270">
        <v>49724512</v>
      </c>
      <c r="B270" s="1">
        <v>46056</v>
      </c>
      <c r="C270">
        <v>3</v>
      </c>
      <c r="D270">
        <v>2</v>
      </c>
      <c r="E270">
        <v>2026</v>
      </c>
      <c r="F270" t="s">
        <v>23</v>
      </c>
      <c r="G270" t="s">
        <v>24</v>
      </c>
      <c r="H270" t="s">
        <v>25</v>
      </c>
      <c r="I270" t="s">
        <v>706</v>
      </c>
      <c r="J270" t="s">
        <v>707</v>
      </c>
      <c r="K270" t="s">
        <v>28</v>
      </c>
      <c r="L270" t="s">
        <v>29</v>
      </c>
      <c r="M270" t="s">
        <v>30</v>
      </c>
      <c r="N270" t="s">
        <v>31</v>
      </c>
      <c r="O270" t="s">
        <v>138</v>
      </c>
      <c r="P270" t="s">
        <v>708</v>
      </c>
      <c r="Q270" t="s">
        <v>709</v>
      </c>
      <c r="R270" t="s">
        <v>710</v>
      </c>
      <c r="S270" t="s">
        <v>47</v>
      </c>
      <c r="T270" t="s">
        <v>79</v>
      </c>
      <c r="U270" t="s">
        <v>80</v>
      </c>
      <c r="V270" t="s">
        <v>81</v>
      </c>
      <c r="W270">
        <v>9</v>
      </c>
    </row>
    <row r="271" spans="1:23" x14ac:dyDescent="0.3">
      <c r="A271">
        <v>49888481</v>
      </c>
      <c r="B271" s="1">
        <v>46064</v>
      </c>
      <c r="C271">
        <v>11</v>
      </c>
      <c r="D271">
        <v>2</v>
      </c>
      <c r="E271">
        <v>2026</v>
      </c>
      <c r="F271" t="s">
        <v>23</v>
      </c>
      <c r="G271" t="s">
        <v>24</v>
      </c>
      <c r="H271" t="s">
        <v>25</v>
      </c>
      <c r="I271" t="s">
        <v>96</v>
      </c>
      <c r="J271" t="s">
        <v>97</v>
      </c>
      <c r="K271" t="s">
        <v>28</v>
      </c>
      <c r="L271" t="s">
        <v>29</v>
      </c>
      <c r="M271" t="s">
        <v>30</v>
      </c>
      <c r="N271" t="s">
        <v>31</v>
      </c>
      <c r="O271" t="s">
        <v>32</v>
      </c>
      <c r="P271" t="s">
        <v>98</v>
      </c>
      <c r="Q271" t="s">
        <v>99</v>
      </c>
      <c r="R271" t="s">
        <v>711</v>
      </c>
      <c r="S271" t="s">
        <v>47</v>
      </c>
      <c r="T271" t="s">
        <v>113</v>
      </c>
      <c r="U271" t="s">
        <v>475</v>
      </c>
      <c r="V271" t="s">
        <v>476</v>
      </c>
      <c r="W271">
        <v>5</v>
      </c>
    </row>
    <row r="272" spans="1:23" x14ac:dyDescent="0.3">
      <c r="A272">
        <v>49620075</v>
      </c>
      <c r="B272" s="1">
        <v>46059</v>
      </c>
      <c r="C272">
        <v>6</v>
      </c>
      <c r="D272">
        <v>2</v>
      </c>
      <c r="E272">
        <v>2026</v>
      </c>
      <c r="F272" t="s">
        <v>23</v>
      </c>
      <c r="G272" t="s">
        <v>24</v>
      </c>
      <c r="H272" t="s">
        <v>25</v>
      </c>
      <c r="I272" t="s">
        <v>514</v>
      </c>
      <c r="J272" t="s">
        <v>515</v>
      </c>
      <c r="K272" t="s">
        <v>28</v>
      </c>
      <c r="L272" t="s">
        <v>29</v>
      </c>
      <c r="M272" t="s">
        <v>30</v>
      </c>
      <c r="N272" t="s">
        <v>31</v>
      </c>
      <c r="O272" t="s">
        <v>132</v>
      </c>
      <c r="P272" t="s">
        <v>133</v>
      </c>
      <c r="Q272" t="s">
        <v>516</v>
      </c>
      <c r="R272" t="s">
        <v>712</v>
      </c>
      <c r="S272" t="s">
        <v>47</v>
      </c>
      <c r="T272" t="s">
        <v>120</v>
      </c>
      <c r="U272" t="s">
        <v>263</v>
      </c>
      <c r="V272" t="s">
        <v>264</v>
      </c>
      <c r="W272">
        <v>2</v>
      </c>
    </row>
    <row r="273" spans="1:23" x14ac:dyDescent="0.3">
      <c r="A273">
        <v>50032426</v>
      </c>
      <c r="B273" s="1">
        <v>46068</v>
      </c>
      <c r="C273">
        <v>15</v>
      </c>
      <c r="D273">
        <v>2</v>
      </c>
      <c r="E273">
        <v>2026</v>
      </c>
      <c r="F273" t="s">
        <v>23</v>
      </c>
      <c r="G273" t="s">
        <v>24</v>
      </c>
      <c r="H273" t="s">
        <v>25</v>
      </c>
      <c r="I273" t="s">
        <v>406</v>
      </c>
      <c r="J273" t="s">
        <v>407</v>
      </c>
      <c r="K273" t="s">
        <v>28</v>
      </c>
      <c r="L273" t="s">
        <v>29</v>
      </c>
      <c r="M273" t="s">
        <v>30</v>
      </c>
      <c r="N273" t="s">
        <v>31</v>
      </c>
      <c r="O273" t="s">
        <v>32</v>
      </c>
      <c r="P273" t="s">
        <v>98</v>
      </c>
      <c r="Q273" t="s">
        <v>99</v>
      </c>
      <c r="R273" t="s">
        <v>330</v>
      </c>
      <c r="S273" t="s">
        <v>63</v>
      </c>
      <c r="T273" t="s">
        <v>164</v>
      </c>
      <c r="U273" t="s">
        <v>200</v>
      </c>
      <c r="V273" t="s">
        <v>201</v>
      </c>
      <c r="W273">
        <v>1</v>
      </c>
    </row>
    <row r="274" spans="1:23" x14ac:dyDescent="0.3">
      <c r="A274">
        <v>48667260</v>
      </c>
      <c r="B274" s="1">
        <v>46036</v>
      </c>
      <c r="C274">
        <v>14</v>
      </c>
      <c r="D274">
        <v>1</v>
      </c>
      <c r="E274">
        <v>2026</v>
      </c>
      <c r="F274" t="s">
        <v>23</v>
      </c>
      <c r="G274" t="s">
        <v>24</v>
      </c>
      <c r="H274" t="s">
        <v>25</v>
      </c>
      <c r="I274" t="s">
        <v>713</v>
      </c>
      <c r="J274" t="s">
        <v>714</v>
      </c>
      <c r="K274" t="s">
        <v>28</v>
      </c>
      <c r="L274" t="s">
        <v>29</v>
      </c>
      <c r="M274" t="s">
        <v>30</v>
      </c>
      <c r="N274" t="s">
        <v>31</v>
      </c>
      <c r="O274" t="s">
        <v>32</v>
      </c>
      <c r="P274" t="s">
        <v>33</v>
      </c>
      <c r="Q274" t="s">
        <v>34</v>
      </c>
      <c r="R274" t="s">
        <v>715</v>
      </c>
      <c r="S274" t="s">
        <v>36</v>
      </c>
      <c r="T274" t="s">
        <v>37</v>
      </c>
      <c r="U274" t="s">
        <v>249</v>
      </c>
      <c r="V274" t="s">
        <v>250</v>
      </c>
      <c r="W274">
        <v>4</v>
      </c>
    </row>
    <row r="275" spans="1:23" x14ac:dyDescent="0.3">
      <c r="A275">
        <v>48995012</v>
      </c>
      <c r="B275" s="1">
        <v>46045</v>
      </c>
      <c r="C275">
        <v>23</v>
      </c>
      <c r="D275">
        <v>1</v>
      </c>
      <c r="E275">
        <v>2026</v>
      </c>
      <c r="F275" t="s">
        <v>23</v>
      </c>
      <c r="G275" t="s">
        <v>24</v>
      </c>
      <c r="H275" t="s">
        <v>25</v>
      </c>
      <c r="I275" t="s">
        <v>251</v>
      </c>
      <c r="J275" t="s">
        <v>252</v>
      </c>
      <c r="K275" t="s">
        <v>28</v>
      </c>
      <c r="L275" t="s">
        <v>29</v>
      </c>
      <c r="M275" t="s">
        <v>30</v>
      </c>
      <c r="N275" t="s">
        <v>31</v>
      </c>
      <c r="O275" t="s">
        <v>32</v>
      </c>
      <c r="P275" t="s">
        <v>125</v>
      </c>
      <c r="Q275" t="s">
        <v>253</v>
      </c>
      <c r="R275" t="s">
        <v>716</v>
      </c>
      <c r="S275" t="s">
        <v>47</v>
      </c>
      <c r="T275" t="s">
        <v>48</v>
      </c>
      <c r="U275" t="s">
        <v>203</v>
      </c>
      <c r="V275" t="s">
        <v>204</v>
      </c>
      <c r="W275">
        <v>6</v>
      </c>
    </row>
    <row r="276" spans="1:23" x14ac:dyDescent="0.3">
      <c r="A276">
        <v>49961901</v>
      </c>
      <c r="B276" s="1">
        <v>46065</v>
      </c>
      <c r="C276">
        <v>12</v>
      </c>
      <c r="D276">
        <v>2</v>
      </c>
      <c r="E276">
        <v>2026</v>
      </c>
      <c r="F276" t="s">
        <v>23</v>
      </c>
      <c r="G276" t="s">
        <v>24</v>
      </c>
      <c r="H276" t="s">
        <v>25</v>
      </c>
      <c r="I276" t="s">
        <v>669</v>
      </c>
      <c r="J276" t="s">
        <v>670</v>
      </c>
      <c r="K276" t="s">
        <v>28</v>
      </c>
      <c r="L276" t="s">
        <v>29</v>
      </c>
      <c r="M276" t="s">
        <v>30</v>
      </c>
      <c r="N276" t="s">
        <v>31</v>
      </c>
      <c r="O276" t="s">
        <v>138</v>
      </c>
      <c r="P276" t="s">
        <v>348</v>
      </c>
      <c r="Q276" t="s">
        <v>582</v>
      </c>
      <c r="R276" t="s">
        <v>196</v>
      </c>
      <c r="S276" t="s">
        <v>63</v>
      </c>
      <c r="T276" t="s">
        <v>164</v>
      </c>
      <c r="U276" t="s">
        <v>197</v>
      </c>
      <c r="V276" t="s">
        <v>198</v>
      </c>
      <c r="W276">
        <v>8</v>
      </c>
    </row>
    <row r="277" spans="1:23" x14ac:dyDescent="0.3">
      <c r="A277">
        <v>50031441</v>
      </c>
      <c r="B277" s="1">
        <v>46067</v>
      </c>
      <c r="C277">
        <v>14</v>
      </c>
      <c r="D277">
        <v>2</v>
      </c>
      <c r="E277">
        <v>2026</v>
      </c>
      <c r="F277" t="s">
        <v>51</v>
      </c>
      <c r="G277" t="s">
        <v>52</v>
      </c>
      <c r="H277" t="s">
        <v>53</v>
      </c>
      <c r="I277" t="s">
        <v>717</v>
      </c>
      <c r="J277" t="s">
        <v>718</v>
      </c>
      <c r="K277" t="s">
        <v>28</v>
      </c>
      <c r="L277" t="s">
        <v>56</v>
      </c>
      <c r="M277" t="s">
        <v>57</v>
      </c>
      <c r="N277" t="s">
        <v>58</v>
      </c>
      <c r="O277" t="s">
        <v>59</v>
      </c>
      <c r="P277" t="s">
        <v>60</v>
      </c>
      <c r="Q277" t="s">
        <v>719</v>
      </c>
      <c r="R277" t="s">
        <v>187</v>
      </c>
      <c r="S277" t="s">
        <v>47</v>
      </c>
      <c r="T277" t="s">
        <v>113</v>
      </c>
      <c r="U277" t="s">
        <v>188</v>
      </c>
      <c r="V277" t="s">
        <v>189</v>
      </c>
      <c r="W277">
        <v>7</v>
      </c>
    </row>
    <row r="278" spans="1:23" x14ac:dyDescent="0.3">
      <c r="A278">
        <v>50084944</v>
      </c>
      <c r="B278" s="1">
        <v>46071</v>
      </c>
      <c r="C278">
        <v>18</v>
      </c>
      <c r="D278">
        <v>2</v>
      </c>
      <c r="E278">
        <v>2026</v>
      </c>
      <c r="F278" t="s">
        <v>351</v>
      </c>
      <c r="G278" t="s">
        <v>352</v>
      </c>
      <c r="H278" t="s">
        <v>353</v>
      </c>
      <c r="I278" t="s">
        <v>529</v>
      </c>
      <c r="J278" t="s">
        <v>530</v>
      </c>
      <c r="K278" t="s">
        <v>28</v>
      </c>
      <c r="L278" t="s">
        <v>56</v>
      </c>
      <c r="M278" t="s">
        <v>57</v>
      </c>
      <c r="N278" t="s">
        <v>58</v>
      </c>
      <c r="O278" t="s">
        <v>289</v>
      </c>
      <c r="P278" t="s">
        <v>531</v>
      </c>
      <c r="Q278" t="s">
        <v>532</v>
      </c>
      <c r="R278" t="s">
        <v>720</v>
      </c>
      <c r="S278" t="s">
        <v>36</v>
      </c>
      <c r="T278" t="s">
        <v>646</v>
      </c>
      <c r="U278" t="s">
        <v>721</v>
      </c>
      <c r="V278" t="s">
        <v>722</v>
      </c>
      <c r="W278">
        <v>9</v>
      </c>
    </row>
    <row r="279" spans="1:23" x14ac:dyDescent="0.3">
      <c r="A279">
        <v>49671663</v>
      </c>
      <c r="B279" s="1">
        <v>46062</v>
      </c>
      <c r="C279">
        <v>9</v>
      </c>
      <c r="D279">
        <v>2</v>
      </c>
      <c r="E279">
        <v>2026</v>
      </c>
      <c r="F279" t="s">
        <v>23</v>
      </c>
      <c r="G279" t="s">
        <v>24</v>
      </c>
      <c r="H279" t="s">
        <v>25</v>
      </c>
      <c r="I279" t="s">
        <v>150</v>
      </c>
      <c r="J279" t="s">
        <v>151</v>
      </c>
      <c r="K279" t="s">
        <v>28</v>
      </c>
      <c r="L279" t="s">
        <v>29</v>
      </c>
      <c r="M279" t="s">
        <v>30</v>
      </c>
      <c r="N279" t="s">
        <v>31</v>
      </c>
      <c r="O279" t="s">
        <v>32</v>
      </c>
      <c r="P279" t="s">
        <v>125</v>
      </c>
      <c r="Q279" t="s">
        <v>152</v>
      </c>
      <c r="R279" t="s">
        <v>723</v>
      </c>
      <c r="S279" t="s">
        <v>47</v>
      </c>
      <c r="T279" t="s">
        <v>48</v>
      </c>
      <c r="U279" t="s">
        <v>142</v>
      </c>
      <c r="V279" t="s">
        <v>143</v>
      </c>
      <c r="W279">
        <v>9</v>
      </c>
    </row>
    <row r="280" spans="1:23" x14ac:dyDescent="0.3">
      <c r="A280">
        <v>49888488</v>
      </c>
      <c r="B280" s="1">
        <v>46064</v>
      </c>
      <c r="C280">
        <v>11</v>
      </c>
      <c r="D280">
        <v>2</v>
      </c>
      <c r="E280">
        <v>2026</v>
      </c>
      <c r="F280" t="s">
        <v>23</v>
      </c>
      <c r="G280" t="s">
        <v>24</v>
      </c>
      <c r="H280" t="s">
        <v>25</v>
      </c>
      <c r="I280" t="s">
        <v>26</v>
      </c>
      <c r="J280" t="s">
        <v>27</v>
      </c>
      <c r="K280" t="s">
        <v>28</v>
      </c>
      <c r="L280" t="s">
        <v>29</v>
      </c>
      <c r="M280" t="s">
        <v>30</v>
      </c>
      <c r="N280" t="s">
        <v>31</v>
      </c>
      <c r="O280" t="s">
        <v>32</v>
      </c>
      <c r="P280" t="s">
        <v>33</v>
      </c>
      <c r="Q280" t="s">
        <v>34</v>
      </c>
      <c r="R280" t="s">
        <v>724</v>
      </c>
      <c r="S280" t="s">
        <v>47</v>
      </c>
      <c r="T280" t="s">
        <v>113</v>
      </c>
      <c r="U280" t="s">
        <v>114</v>
      </c>
      <c r="V280" t="s">
        <v>115</v>
      </c>
      <c r="W280">
        <v>0</v>
      </c>
    </row>
    <row r="281" spans="1:23" x14ac:dyDescent="0.3">
      <c r="A281">
        <v>49304156</v>
      </c>
      <c r="B281" s="1">
        <v>46054</v>
      </c>
      <c r="C281">
        <v>1</v>
      </c>
      <c r="D281">
        <v>2</v>
      </c>
      <c r="E281">
        <v>2026</v>
      </c>
      <c r="F281" t="s">
        <v>23</v>
      </c>
      <c r="G281" t="s">
        <v>24</v>
      </c>
      <c r="H281" t="s">
        <v>25</v>
      </c>
      <c r="I281" t="s">
        <v>725</v>
      </c>
      <c r="J281" t="s">
        <v>726</v>
      </c>
      <c r="K281" t="s">
        <v>28</v>
      </c>
      <c r="L281" t="s">
        <v>29</v>
      </c>
      <c r="M281" t="s">
        <v>271</v>
      </c>
      <c r="N281" t="s">
        <v>272</v>
      </c>
      <c r="O281" t="s">
        <v>324</v>
      </c>
      <c r="P281" t="s">
        <v>727</v>
      </c>
      <c r="Q281" t="s">
        <v>728</v>
      </c>
      <c r="R281" t="s">
        <v>153</v>
      </c>
      <c r="S281" t="s">
        <v>63</v>
      </c>
      <c r="T281" t="s">
        <v>154</v>
      </c>
      <c r="U281" t="s">
        <v>155</v>
      </c>
      <c r="V281" t="s">
        <v>156</v>
      </c>
      <c r="W281">
        <v>2</v>
      </c>
    </row>
    <row r="282" spans="1:23" x14ac:dyDescent="0.3">
      <c r="A282">
        <v>49030070</v>
      </c>
      <c r="B282" s="1">
        <v>46042</v>
      </c>
      <c r="C282">
        <v>20</v>
      </c>
      <c r="D282">
        <v>1</v>
      </c>
      <c r="E282">
        <v>2026</v>
      </c>
      <c r="F282" t="s">
        <v>23</v>
      </c>
      <c r="G282" t="s">
        <v>24</v>
      </c>
      <c r="H282" t="s">
        <v>25</v>
      </c>
      <c r="I282" t="s">
        <v>420</v>
      </c>
      <c r="J282" t="s">
        <v>421</v>
      </c>
      <c r="K282" t="s">
        <v>28</v>
      </c>
      <c r="L282" t="s">
        <v>29</v>
      </c>
      <c r="M282" t="s">
        <v>30</v>
      </c>
      <c r="N282" t="s">
        <v>42</v>
      </c>
      <c r="O282" t="s">
        <v>43</v>
      </c>
      <c r="P282" t="s">
        <v>44</v>
      </c>
      <c r="Q282" t="s">
        <v>391</v>
      </c>
      <c r="R282" t="s">
        <v>729</v>
      </c>
      <c r="S282" t="s">
        <v>47</v>
      </c>
      <c r="T282" t="s">
        <v>373</v>
      </c>
      <c r="U282" t="s">
        <v>374</v>
      </c>
      <c r="V282" t="s">
        <v>375</v>
      </c>
      <c r="W282">
        <v>5</v>
      </c>
    </row>
    <row r="283" spans="1:23" x14ac:dyDescent="0.3">
      <c r="A283">
        <v>49249920</v>
      </c>
      <c r="B283" s="1">
        <v>46051</v>
      </c>
      <c r="C283">
        <v>29</v>
      </c>
      <c r="D283">
        <v>1</v>
      </c>
      <c r="E283">
        <v>2026</v>
      </c>
      <c r="F283" t="s">
        <v>23</v>
      </c>
      <c r="G283" t="s">
        <v>24</v>
      </c>
      <c r="H283" t="s">
        <v>25</v>
      </c>
      <c r="I283" t="s">
        <v>158</v>
      </c>
      <c r="J283" t="s">
        <v>159</v>
      </c>
      <c r="K283" t="s">
        <v>28</v>
      </c>
      <c r="L283" t="s">
        <v>29</v>
      </c>
      <c r="M283" t="s">
        <v>30</v>
      </c>
      <c r="N283" t="s">
        <v>31</v>
      </c>
      <c r="O283" t="s">
        <v>160</v>
      </c>
      <c r="P283" t="s">
        <v>161</v>
      </c>
      <c r="Q283" t="s">
        <v>162</v>
      </c>
      <c r="R283" t="s">
        <v>588</v>
      </c>
      <c r="S283" t="s">
        <v>63</v>
      </c>
      <c r="T283" t="s">
        <v>164</v>
      </c>
      <c r="U283" t="s">
        <v>197</v>
      </c>
      <c r="V283" t="s">
        <v>229</v>
      </c>
      <c r="W283">
        <v>7</v>
      </c>
    </row>
    <row r="284" spans="1:23" x14ac:dyDescent="0.3">
      <c r="A284">
        <v>48722327</v>
      </c>
      <c r="B284" s="1">
        <v>46042</v>
      </c>
      <c r="C284">
        <v>20</v>
      </c>
      <c r="D284">
        <v>1</v>
      </c>
      <c r="E284">
        <v>2026</v>
      </c>
      <c r="F284" t="s">
        <v>23</v>
      </c>
      <c r="G284" t="s">
        <v>24</v>
      </c>
      <c r="H284" t="s">
        <v>25</v>
      </c>
      <c r="I284" t="s">
        <v>144</v>
      </c>
      <c r="J284" t="s">
        <v>145</v>
      </c>
      <c r="K284" t="s">
        <v>28</v>
      </c>
      <c r="L284" t="s">
        <v>29</v>
      </c>
      <c r="M284" t="s">
        <v>30</v>
      </c>
      <c r="N284" t="s">
        <v>31</v>
      </c>
      <c r="O284" t="s">
        <v>32</v>
      </c>
      <c r="P284" t="s">
        <v>33</v>
      </c>
      <c r="Q284" t="s">
        <v>146</v>
      </c>
      <c r="R284" t="s">
        <v>587</v>
      </c>
      <c r="S284" t="s">
        <v>47</v>
      </c>
      <c r="T284" t="s">
        <v>373</v>
      </c>
      <c r="U284" t="s">
        <v>374</v>
      </c>
      <c r="V284" t="s">
        <v>375</v>
      </c>
      <c r="W284">
        <v>9</v>
      </c>
    </row>
    <row r="285" spans="1:23" x14ac:dyDescent="0.3">
      <c r="A285">
        <v>49512908</v>
      </c>
      <c r="B285" s="1">
        <v>46057</v>
      </c>
      <c r="C285">
        <v>4</v>
      </c>
      <c r="D285">
        <v>2</v>
      </c>
      <c r="E285">
        <v>2026</v>
      </c>
      <c r="F285" t="s">
        <v>23</v>
      </c>
      <c r="G285" t="s">
        <v>24</v>
      </c>
      <c r="H285" t="s">
        <v>25</v>
      </c>
      <c r="I285" t="s">
        <v>251</v>
      </c>
      <c r="J285" t="s">
        <v>252</v>
      </c>
      <c r="K285" t="s">
        <v>28</v>
      </c>
      <c r="L285" t="s">
        <v>29</v>
      </c>
      <c r="M285" t="s">
        <v>30</v>
      </c>
      <c r="N285" t="s">
        <v>31</v>
      </c>
      <c r="O285" t="s">
        <v>32</v>
      </c>
      <c r="P285" t="s">
        <v>125</v>
      </c>
      <c r="Q285" t="s">
        <v>253</v>
      </c>
      <c r="R285" t="s">
        <v>730</v>
      </c>
      <c r="S285" t="s">
        <v>36</v>
      </c>
      <c r="T285" t="s">
        <v>37</v>
      </c>
      <c r="U285" t="s">
        <v>38</v>
      </c>
      <c r="V285" t="s">
        <v>39</v>
      </c>
      <c r="W285">
        <v>3</v>
      </c>
    </row>
    <row r="286" spans="1:23" x14ac:dyDescent="0.3">
      <c r="A286">
        <v>48762751</v>
      </c>
      <c r="B286" s="1">
        <v>46045</v>
      </c>
      <c r="C286">
        <v>23</v>
      </c>
      <c r="D286">
        <v>1</v>
      </c>
      <c r="E286">
        <v>2026</v>
      </c>
      <c r="F286" t="s">
        <v>490</v>
      </c>
      <c r="G286" t="s">
        <v>83</v>
      </c>
      <c r="H286" t="s">
        <v>84</v>
      </c>
      <c r="I286" t="s">
        <v>491</v>
      </c>
      <c r="J286" t="s">
        <v>492</v>
      </c>
      <c r="K286" t="s">
        <v>28</v>
      </c>
      <c r="L286" t="s">
        <v>56</v>
      </c>
      <c r="M286" t="s">
        <v>87</v>
      </c>
      <c r="N286" t="s">
        <v>88</v>
      </c>
      <c r="O286" t="s">
        <v>493</v>
      </c>
      <c r="P286" t="s">
        <v>494</v>
      </c>
      <c r="Q286" t="s">
        <v>495</v>
      </c>
      <c r="R286" t="s">
        <v>731</v>
      </c>
      <c r="S286" t="s">
        <v>47</v>
      </c>
      <c r="T286" t="s">
        <v>48</v>
      </c>
      <c r="U286" t="s">
        <v>203</v>
      </c>
      <c r="V286" t="s">
        <v>204</v>
      </c>
      <c r="W286">
        <v>2</v>
      </c>
    </row>
    <row r="287" spans="1:23" x14ac:dyDescent="0.3">
      <c r="A287">
        <v>50026586</v>
      </c>
      <c r="B287" s="1">
        <v>46066</v>
      </c>
      <c r="C287">
        <v>13</v>
      </c>
      <c r="D287">
        <v>2</v>
      </c>
      <c r="E287">
        <v>2026</v>
      </c>
      <c r="F287" t="s">
        <v>23</v>
      </c>
      <c r="G287" t="s">
        <v>24</v>
      </c>
      <c r="H287" t="s">
        <v>25</v>
      </c>
      <c r="I287" t="s">
        <v>732</v>
      </c>
      <c r="J287" t="s">
        <v>733</v>
      </c>
      <c r="K287" t="s">
        <v>28</v>
      </c>
      <c r="L287" t="s">
        <v>29</v>
      </c>
      <c r="M287" t="s">
        <v>30</v>
      </c>
      <c r="N287" t="s">
        <v>31</v>
      </c>
      <c r="O287" t="s">
        <v>32</v>
      </c>
      <c r="P287" t="s">
        <v>125</v>
      </c>
      <c r="Q287" t="s">
        <v>734</v>
      </c>
      <c r="R287" t="s">
        <v>735</v>
      </c>
      <c r="S287" t="s">
        <v>63</v>
      </c>
      <c r="T287" t="s">
        <v>164</v>
      </c>
      <c r="U287" t="s">
        <v>293</v>
      </c>
      <c r="V287" t="s">
        <v>736</v>
      </c>
      <c r="W287">
        <v>6</v>
      </c>
    </row>
    <row r="288" spans="1:23" x14ac:dyDescent="0.3">
      <c r="A288">
        <v>49298809</v>
      </c>
      <c r="B288" s="1">
        <v>46053</v>
      </c>
      <c r="C288">
        <v>31</v>
      </c>
      <c r="D288">
        <v>1</v>
      </c>
      <c r="E288">
        <v>2026</v>
      </c>
      <c r="F288" t="s">
        <v>23</v>
      </c>
      <c r="G288" t="s">
        <v>24</v>
      </c>
      <c r="H288" t="s">
        <v>25</v>
      </c>
      <c r="I288" t="s">
        <v>244</v>
      </c>
      <c r="J288" t="s">
        <v>245</v>
      </c>
      <c r="K288" t="s">
        <v>28</v>
      </c>
      <c r="L288" t="s">
        <v>29</v>
      </c>
      <c r="M288" t="s">
        <v>30</v>
      </c>
      <c r="N288" t="s">
        <v>31</v>
      </c>
      <c r="O288" t="s">
        <v>138</v>
      </c>
      <c r="P288" t="s">
        <v>246</v>
      </c>
      <c r="Q288" t="s">
        <v>247</v>
      </c>
      <c r="R288" t="s">
        <v>737</v>
      </c>
      <c r="S288" t="s">
        <v>36</v>
      </c>
      <c r="T288" t="s">
        <v>179</v>
      </c>
      <c r="U288" t="s">
        <v>180</v>
      </c>
      <c r="V288" t="s">
        <v>181</v>
      </c>
      <c r="W288">
        <v>5</v>
      </c>
    </row>
    <row r="289" spans="1:23" x14ac:dyDescent="0.3">
      <c r="A289">
        <v>49298824</v>
      </c>
      <c r="B289" s="1">
        <v>46053</v>
      </c>
      <c r="C289">
        <v>31</v>
      </c>
      <c r="D289">
        <v>1</v>
      </c>
      <c r="E289">
        <v>2026</v>
      </c>
      <c r="F289" t="s">
        <v>23</v>
      </c>
      <c r="G289" t="s">
        <v>24</v>
      </c>
      <c r="H289" t="s">
        <v>25</v>
      </c>
      <c r="I289" t="s">
        <v>738</v>
      </c>
      <c r="J289" t="s">
        <v>739</v>
      </c>
      <c r="K289" t="s">
        <v>28</v>
      </c>
      <c r="L289" t="s">
        <v>29</v>
      </c>
      <c r="M289" t="s">
        <v>30</v>
      </c>
      <c r="N289" t="s">
        <v>31</v>
      </c>
      <c r="O289" t="s">
        <v>138</v>
      </c>
      <c r="P289" t="s">
        <v>740</v>
      </c>
      <c r="Q289" t="s">
        <v>741</v>
      </c>
      <c r="R289" t="s">
        <v>742</v>
      </c>
      <c r="S289" t="s">
        <v>47</v>
      </c>
      <c r="T289" t="s">
        <v>120</v>
      </c>
      <c r="U289" t="s">
        <v>233</v>
      </c>
      <c r="V289" t="s">
        <v>234</v>
      </c>
      <c r="W289">
        <v>8</v>
      </c>
    </row>
    <row r="290" spans="1:23" x14ac:dyDescent="0.3">
      <c r="A290">
        <v>48742842</v>
      </c>
      <c r="B290" s="1">
        <v>46043</v>
      </c>
      <c r="C290">
        <v>21</v>
      </c>
      <c r="D290">
        <v>1</v>
      </c>
      <c r="E290">
        <v>2026</v>
      </c>
      <c r="F290" t="s">
        <v>23</v>
      </c>
      <c r="G290" t="s">
        <v>24</v>
      </c>
      <c r="H290" t="s">
        <v>25</v>
      </c>
      <c r="I290" t="s">
        <v>420</v>
      </c>
      <c r="J290" t="s">
        <v>421</v>
      </c>
      <c r="K290" t="s">
        <v>28</v>
      </c>
      <c r="L290" t="s">
        <v>29</v>
      </c>
      <c r="M290" t="s">
        <v>30</v>
      </c>
      <c r="N290" t="s">
        <v>42</v>
      </c>
      <c r="O290" t="s">
        <v>43</v>
      </c>
      <c r="P290" t="s">
        <v>44</v>
      </c>
      <c r="Q290" t="s">
        <v>391</v>
      </c>
      <c r="R290" t="s">
        <v>743</v>
      </c>
      <c r="S290" t="s">
        <v>47</v>
      </c>
      <c r="T290" t="s">
        <v>113</v>
      </c>
      <c r="U290" t="s">
        <v>744</v>
      </c>
      <c r="V290" t="s">
        <v>745</v>
      </c>
      <c r="W290">
        <v>9</v>
      </c>
    </row>
    <row r="291" spans="1:23" x14ac:dyDescent="0.3">
      <c r="A291">
        <v>49395891</v>
      </c>
      <c r="B291" s="1">
        <v>46054</v>
      </c>
      <c r="C291">
        <v>1</v>
      </c>
      <c r="D291">
        <v>2</v>
      </c>
      <c r="E291">
        <v>2026</v>
      </c>
      <c r="F291" t="s">
        <v>23</v>
      </c>
      <c r="G291" t="s">
        <v>24</v>
      </c>
      <c r="H291" t="s">
        <v>25</v>
      </c>
      <c r="I291" t="s">
        <v>136</v>
      </c>
      <c r="J291" t="s">
        <v>137</v>
      </c>
      <c r="K291" t="s">
        <v>28</v>
      </c>
      <c r="L291" t="s">
        <v>29</v>
      </c>
      <c r="M291" t="s">
        <v>30</v>
      </c>
      <c r="N291" t="s">
        <v>31</v>
      </c>
      <c r="O291" t="s">
        <v>138</v>
      </c>
      <c r="P291" t="s">
        <v>139</v>
      </c>
      <c r="Q291" t="s">
        <v>140</v>
      </c>
      <c r="R291" t="s">
        <v>638</v>
      </c>
      <c r="S291" t="s">
        <v>47</v>
      </c>
      <c r="T291" t="s">
        <v>101</v>
      </c>
      <c r="U291" t="s">
        <v>128</v>
      </c>
      <c r="V291" t="s">
        <v>332</v>
      </c>
      <c r="W291">
        <v>0</v>
      </c>
    </row>
    <row r="292" spans="1:23" x14ac:dyDescent="0.3">
      <c r="A292">
        <v>48665828</v>
      </c>
      <c r="B292" s="1">
        <v>46037</v>
      </c>
      <c r="C292">
        <v>15</v>
      </c>
      <c r="D292">
        <v>1</v>
      </c>
      <c r="E292">
        <v>2026</v>
      </c>
      <c r="F292" t="s">
        <v>23</v>
      </c>
      <c r="G292" t="s">
        <v>24</v>
      </c>
      <c r="H292" t="s">
        <v>25</v>
      </c>
      <c r="I292" t="s">
        <v>150</v>
      </c>
      <c r="J292" t="s">
        <v>151</v>
      </c>
      <c r="K292" t="s">
        <v>28</v>
      </c>
      <c r="L292" t="s">
        <v>29</v>
      </c>
      <c r="M292" t="s">
        <v>30</v>
      </c>
      <c r="N292" t="s">
        <v>31</v>
      </c>
      <c r="O292" t="s">
        <v>32</v>
      </c>
      <c r="P292" t="s">
        <v>125</v>
      </c>
      <c r="Q292" t="s">
        <v>152</v>
      </c>
      <c r="R292" t="s">
        <v>746</v>
      </c>
      <c r="S292" t="s">
        <v>47</v>
      </c>
      <c r="T292" t="s">
        <v>120</v>
      </c>
      <c r="U292" t="s">
        <v>121</v>
      </c>
      <c r="V292" t="s">
        <v>122</v>
      </c>
      <c r="W292">
        <v>1</v>
      </c>
    </row>
    <row r="293" spans="1:23" x14ac:dyDescent="0.3">
      <c r="A293">
        <v>49381976</v>
      </c>
      <c r="B293" s="1">
        <v>46055</v>
      </c>
      <c r="C293">
        <v>2</v>
      </c>
      <c r="D293">
        <v>2</v>
      </c>
      <c r="E293">
        <v>2026</v>
      </c>
      <c r="F293" t="s">
        <v>23</v>
      </c>
      <c r="G293" t="s">
        <v>24</v>
      </c>
      <c r="H293" t="s">
        <v>25</v>
      </c>
      <c r="I293" t="s">
        <v>26</v>
      </c>
      <c r="J293" t="s">
        <v>27</v>
      </c>
      <c r="K293" t="s">
        <v>28</v>
      </c>
      <c r="L293" t="s">
        <v>29</v>
      </c>
      <c r="M293" t="s">
        <v>30</v>
      </c>
      <c r="N293" t="s">
        <v>31</v>
      </c>
      <c r="O293" t="s">
        <v>32</v>
      </c>
      <c r="P293" t="s">
        <v>33</v>
      </c>
      <c r="Q293" t="s">
        <v>34</v>
      </c>
      <c r="R293" t="s">
        <v>100</v>
      </c>
      <c r="S293" t="s">
        <v>47</v>
      </c>
      <c r="T293" t="s">
        <v>101</v>
      </c>
      <c r="U293" t="s">
        <v>102</v>
      </c>
      <c r="V293" t="s">
        <v>103</v>
      </c>
      <c r="W293">
        <v>0</v>
      </c>
    </row>
    <row r="294" spans="1:23" x14ac:dyDescent="0.3">
      <c r="A294">
        <v>49395884</v>
      </c>
      <c r="B294" s="1">
        <v>46053</v>
      </c>
      <c r="C294">
        <v>31</v>
      </c>
      <c r="D294">
        <v>1</v>
      </c>
      <c r="E294">
        <v>2026</v>
      </c>
      <c r="F294" t="s">
        <v>23</v>
      </c>
      <c r="G294" t="s">
        <v>24</v>
      </c>
      <c r="H294" t="s">
        <v>25</v>
      </c>
      <c r="I294" t="s">
        <v>172</v>
      </c>
      <c r="J294" t="s">
        <v>173</v>
      </c>
      <c r="K294" t="s">
        <v>28</v>
      </c>
      <c r="L294" t="s">
        <v>29</v>
      </c>
      <c r="M294" t="s">
        <v>30</v>
      </c>
      <c r="N294" t="s">
        <v>174</v>
      </c>
      <c r="O294" t="s">
        <v>175</v>
      </c>
      <c r="P294" t="s">
        <v>176</v>
      </c>
      <c r="Q294" t="s">
        <v>177</v>
      </c>
      <c r="R294" t="s">
        <v>747</v>
      </c>
      <c r="S294" t="s">
        <v>36</v>
      </c>
      <c r="T294" t="s">
        <v>179</v>
      </c>
      <c r="U294" t="s">
        <v>180</v>
      </c>
      <c r="V294" t="s">
        <v>181</v>
      </c>
      <c r="W294">
        <v>1</v>
      </c>
    </row>
    <row r="295" spans="1:23" x14ac:dyDescent="0.3">
      <c r="A295">
        <v>49603675</v>
      </c>
      <c r="B295" s="1">
        <v>46059</v>
      </c>
      <c r="C295">
        <v>6</v>
      </c>
      <c r="D295">
        <v>2</v>
      </c>
      <c r="E295">
        <v>2026</v>
      </c>
      <c r="F295" t="s">
        <v>351</v>
      </c>
      <c r="G295" t="s">
        <v>352</v>
      </c>
      <c r="H295" t="s">
        <v>353</v>
      </c>
      <c r="I295" t="s">
        <v>287</v>
      </c>
      <c r="J295" t="s">
        <v>288</v>
      </c>
      <c r="K295" t="s">
        <v>28</v>
      </c>
      <c r="L295" t="s">
        <v>56</v>
      </c>
      <c r="M295" t="s">
        <v>57</v>
      </c>
      <c r="N295" t="s">
        <v>58</v>
      </c>
      <c r="O295" t="s">
        <v>289</v>
      </c>
      <c r="P295" t="s">
        <v>290</v>
      </c>
      <c r="Q295" t="s">
        <v>291</v>
      </c>
      <c r="R295" t="s">
        <v>292</v>
      </c>
      <c r="S295" t="s">
        <v>63</v>
      </c>
      <c r="T295" t="s">
        <v>164</v>
      </c>
      <c r="U295" t="s">
        <v>293</v>
      </c>
      <c r="V295" t="s">
        <v>294</v>
      </c>
      <c r="W29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Pivots</vt:lpstr>
      <vt:lpstr>monthly differences</vt:lpstr>
      <vt:lpstr>location pivots</vt:lpstr>
      <vt:lpstr>class pivots</vt:lpstr>
      <vt:lpstr>Wildlife Data</vt:lpstr>
      <vt:lpstr>wildlife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Corley</dc:creator>
  <cp:lastModifiedBy>Caroline Corley</cp:lastModifiedBy>
  <dcterms:created xsi:type="dcterms:W3CDTF">2026-04-29T19:36:55Z</dcterms:created>
  <dcterms:modified xsi:type="dcterms:W3CDTF">2026-06-17T11:20:13Z</dcterms:modified>
</cp:coreProperties>
</file>