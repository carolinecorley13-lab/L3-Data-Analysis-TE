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5"/>
    <sheet state="visible" name="Cleaned" sheetId="2" r:id="rId6"/>
    <sheet state="visible" name="GSQ" sheetId="3" r:id="rId7"/>
    <sheet state="visible" name="Pivot Table" sheetId="4" r:id="rId8"/>
    <sheet state="visible" name="Charts" sheetId="5" r:id="rId9"/>
    <sheet state="visible" name="Dashboard" sheetId="6" r:id="rId10"/>
  </sheets>
  <definedNames>
    <definedName name="Data">Cleaned!$A$1:$F$375</definedName>
    <definedName name="BirdBug">GSQ!$A$1:$D$29</definedName>
    <definedName name="Bugs">GSQ!$A$1:$E$28</definedName>
    <definedName hidden="1" localSheetId="2" name="Z_3AD86688_F366_46C3_B1F7_D1332CBB9B9E_.wvu.FilterData">GSQ!$A$1:$D$30</definedName>
    <definedName hidden="1" localSheetId="2" name="Z_C3F1A426_6D88_48CC_A425_5A71B1F26D0E_.wvu.FilterData">GSQ!$A$1:$D$30</definedName>
    <definedName name="SlicerCache_Table_1_Col_1">#N/A</definedName>
    <definedName name="SlicerCache_Table_1_Col_3">#N/A</definedName>
    <definedName name="SlicerCache_Table_1_Col_4">#N/A</definedName>
  </definedNames>
  <calcPr/>
  <customWorkbookViews>
    <customWorkbookView activeSheetId="0" maximized="1" windowHeight="0" windowWidth="0" guid="{C3F1A426-6D88-48CC-A425-5A71B1F26D0E}" name="Filter 2"/>
    <customWorkbookView activeSheetId="0" maximized="1" windowHeight="0" windowWidth="0" guid="{3AD86688-F366-46C3-B1F7-D1332CBB9B9E}" name="Filter 1"/>
  </customWorkbookViews>
  <pivotCaches>
    <pivotCache cacheId="0" r:id="rId11"/>
  </pivotCaches>
  <extLst>
    <ext uri="{46BE6895-7355-4a93-B00E-2C351335B9C9}">
      <x15:slicerCaches>
        <x14:slicerCache r:id="rId12"/>
        <x14:slicerCache r:id="rId13"/>
        <x14:slicerCache r:id="rId14"/>
      </x15:slicerCaches>
    </ext>
  </extLst>
</workbook>
</file>

<file path=xl/sharedStrings.xml><?xml version="1.0" encoding="utf-8"?>
<sst xmlns="http://schemas.openxmlformats.org/spreadsheetml/2006/main" count="2302" uniqueCount="284">
  <si>
    <t>Occurrence ID</t>
  </si>
  <si>
    <t>Scientific name</t>
  </si>
  <si>
    <t>Common name</t>
  </si>
  <si>
    <t>Event Date</t>
  </si>
  <si>
    <t>Day</t>
  </si>
  <si>
    <t>Month</t>
  </si>
  <si>
    <t>Year</t>
  </si>
  <si>
    <t>Rhytidiadelphus squarrosus</t>
  </si>
  <si>
    <t>Springy Turf-moss</t>
  </si>
  <si>
    <t>Atrichum undulatum</t>
  </si>
  <si>
    <t>Common Smoothcap</t>
  </si>
  <si>
    <t>Bellis perennis</t>
  </si>
  <si>
    <t>Daisy</t>
  </si>
  <si>
    <t>Adalia bipunctata</t>
  </si>
  <si>
    <t>2-spot Ladybird</t>
  </si>
  <si>
    <t>Cratoneuron filicinum</t>
  </si>
  <si>
    <t>Fern-leaved Hook-moss</t>
  </si>
  <si>
    <t>Amblystegium serpens</t>
  </si>
  <si>
    <t>Creeping Feather-moss</t>
  </si>
  <si>
    <t>Micromys minutus</t>
  </si>
  <si>
    <t>Harvest Mouse</t>
  </si>
  <si>
    <t>Hypnum jutlandicum</t>
  </si>
  <si>
    <t>Heath Plait-moss</t>
  </si>
  <si>
    <t>Sambucus nigra</t>
  </si>
  <si>
    <t>Elder</t>
  </si>
  <si>
    <t>Halyzia sedecimguttata</t>
  </si>
  <si>
    <t>Orange Ladybird</t>
  </si>
  <si>
    <t>Calliergonella cuspidata</t>
  </si>
  <si>
    <t>Pointed Spear-moss</t>
  </si>
  <si>
    <t>Pleurozium schreberi</t>
  </si>
  <si>
    <t>Red-stemmed Feather-moss</t>
  </si>
  <si>
    <t>Brachythecium rutabulum</t>
  </si>
  <si>
    <t>Rough-stalked Feather-moss</t>
  </si>
  <si>
    <t>Rhizomnium punctatum</t>
  </si>
  <si>
    <t>Dotted Thyme-moss</t>
  </si>
  <si>
    <t>Dicranum scoparium</t>
  </si>
  <si>
    <t>Broom Fork-moss</t>
  </si>
  <si>
    <t>Hylocomium splendens</t>
  </si>
  <si>
    <t>Glittering Wood-moss</t>
  </si>
  <si>
    <t>Kindbergia praelonga</t>
  </si>
  <si>
    <t>Common Feather-moss</t>
  </si>
  <si>
    <t>Viscum album</t>
  </si>
  <si>
    <t>Mistletoe</t>
  </si>
  <si>
    <t>Grimmia pulvinata</t>
  </si>
  <si>
    <t>Grey-cushioned Grimmia</t>
  </si>
  <si>
    <t>Aucuba japonica</t>
  </si>
  <si>
    <t>Spotted-laurel</t>
  </si>
  <si>
    <t>Calluna vulgaris</t>
  </si>
  <si>
    <t>Heather</t>
  </si>
  <si>
    <t>Schistidium crassipilum</t>
  </si>
  <si>
    <t>Thickpoint Grimmia</t>
  </si>
  <si>
    <t>Sphagnum fimbriatum</t>
  </si>
  <si>
    <t>Fringed Bog-moss</t>
  </si>
  <si>
    <t>Quercus robur</t>
  </si>
  <si>
    <t>Pedunculate Oak</t>
  </si>
  <si>
    <t>Huperzia selago</t>
  </si>
  <si>
    <t>Fir Clubmoss</t>
  </si>
  <si>
    <t>Coccinella septempunctata</t>
  </si>
  <si>
    <t>7-spot Ladybird</t>
  </si>
  <si>
    <t>Harmonia axyridis</t>
  </si>
  <si>
    <t>Harlequin Ladybird</t>
  </si>
  <si>
    <t>Homalothecium sericeum</t>
  </si>
  <si>
    <t>Silky Wall Feather-moss</t>
  </si>
  <si>
    <t>Bryum argenteum</t>
  </si>
  <si>
    <t>Silver-moss</t>
  </si>
  <si>
    <t>Sphagnum cuspidatum</t>
  </si>
  <si>
    <t>Feathery Bog-moss</t>
  </si>
  <si>
    <t>Thamnobryum alopecurum</t>
  </si>
  <si>
    <t>Fox-tail Feather-moss</t>
  </si>
  <si>
    <t>Campylopus introflexus</t>
  </si>
  <si>
    <t>Heath Star Moss</t>
  </si>
  <si>
    <t>Vinca minor</t>
  </si>
  <si>
    <t>Lesser Periwinkle</t>
  </si>
  <si>
    <t>Pseudoscleropodium purum</t>
  </si>
  <si>
    <t>Neat Feather-moss</t>
  </si>
  <si>
    <t>Plagiothecium undulatum</t>
  </si>
  <si>
    <t>Waved Silk-moss</t>
  </si>
  <si>
    <t>Pellia epiphylla</t>
  </si>
  <si>
    <t>Overleaf Pellia</t>
  </si>
  <si>
    <t>Thuidium tamariscinum</t>
  </si>
  <si>
    <t>Common Tamarisk-moss</t>
  </si>
  <si>
    <t>Leptoglossus occidentalis</t>
  </si>
  <si>
    <t>Western Conifer Seed Bug</t>
  </si>
  <si>
    <t>Plagiomnium undulatum</t>
  </si>
  <si>
    <t>Hart's-tongue Thyme-moss</t>
  </si>
  <si>
    <t>Diplophyllum albicans</t>
  </si>
  <si>
    <t>White Earwort</t>
  </si>
  <si>
    <t>Ceratodon purpureus</t>
  </si>
  <si>
    <t>Redshank</t>
  </si>
  <si>
    <t>Bryum capillare</t>
  </si>
  <si>
    <t>Capillary Thread-moss</t>
  </si>
  <si>
    <t>Meliscaeva auricollis</t>
  </si>
  <si>
    <t>Radula complanata</t>
  </si>
  <si>
    <t>Even Scalewort</t>
  </si>
  <si>
    <t>Sphagnum subnitens</t>
  </si>
  <si>
    <t>Lustrous Bog-moss</t>
  </si>
  <si>
    <t>Asplenium ceterach</t>
  </si>
  <si>
    <t>Rusty-Back Fern</t>
  </si>
  <si>
    <t>Didymodon insulanus</t>
  </si>
  <si>
    <t>Cylindric Beard-moss</t>
  </si>
  <si>
    <t>Palomena prasina</t>
  </si>
  <si>
    <t>Green Shieldbug</t>
  </si>
  <si>
    <t>Sphagnum palustre</t>
  </si>
  <si>
    <t>Blunt-leaved Bog-moss</t>
  </si>
  <si>
    <t>Empoasca vitis</t>
  </si>
  <si>
    <t>Polypodium</t>
  </si>
  <si>
    <t>Salix</t>
  </si>
  <si>
    <t>Willow</t>
  </si>
  <si>
    <t>Sphagnum fallax</t>
  </si>
  <si>
    <t>Flat-topped Bog-moss</t>
  </si>
  <si>
    <t>Tortula muralis</t>
  </si>
  <si>
    <t>Wall Screw-moss</t>
  </si>
  <si>
    <t>Polytrichum commune s.l.</t>
  </si>
  <si>
    <t>Common Haircap</t>
  </si>
  <si>
    <t>Encalypta streptocarpa</t>
  </si>
  <si>
    <t>Spiral Extinguisher-moss</t>
  </si>
  <si>
    <t>Polypodium interjectum</t>
  </si>
  <si>
    <t>Intermediate Polypody</t>
  </si>
  <si>
    <t>Hypnum cupressiforme</t>
  </si>
  <si>
    <t>Cypress-leaved Plait-moss</t>
  </si>
  <si>
    <t>Polytrichum formosum</t>
  </si>
  <si>
    <t>Bank Haircap</t>
  </si>
  <si>
    <t>Galanthus</t>
  </si>
  <si>
    <t>Snowdrop</t>
  </si>
  <si>
    <t>Aulacomnium palustre</t>
  </si>
  <si>
    <t>Bog Groove-moss</t>
  </si>
  <si>
    <t>Iris foetidissima</t>
  </si>
  <si>
    <t>Stinking Iris</t>
  </si>
  <si>
    <t>Corylus avellana</t>
  </si>
  <si>
    <t>Hazel</t>
  </si>
  <si>
    <t>Polytrichum piliferum</t>
  </si>
  <si>
    <t>Bristly Haircap</t>
  </si>
  <si>
    <t>Ophrys apifera</t>
  </si>
  <si>
    <t>Bee Orchid</t>
  </si>
  <si>
    <t>Orthotrichum anomalum</t>
  </si>
  <si>
    <t>Anomalous Bristle-moss</t>
  </si>
  <si>
    <t>Lophocolea semiteres</t>
  </si>
  <si>
    <t>Southern Crestwort</t>
  </si>
  <si>
    <t>Tortula cernua</t>
  </si>
  <si>
    <t>Flamingo-moss</t>
  </si>
  <si>
    <t>Betula pendula</t>
  </si>
  <si>
    <t>Silver Birch</t>
  </si>
  <si>
    <t>Lewinskya affinis</t>
  </si>
  <si>
    <t>Wood Bristle-moss</t>
  </si>
  <si>
    <t>Bryum intermedium</t>
  </si>
  <si>
    <t>Many-seasoned Thread-moss</t>
  </si>
  <si>
    <t>Scapania undulata</t>
  </si>
  <si>
    <t>Water Earwort</t>
  </si>
  <si>
    <t>Arum italicum</t>
  </si>
  <si>
    <t>Italian Lords-and-Ladies</t>
  </si>
  <si>
    <t>Lonicera periclymenum</t>
  </si>
  <si>
    <t>Honeysuckle</t>
  </si>
  <si>
    <t>Polytrichum juniperinum</t>
  </si>
  <si>
    <t>Juniper Haircap</t>
  </si>
  <si>
    <t>Hylocomiadelphus triquetrus</t>
  </si>
  <si>
    <t>Big Shaggy-moss</t>
  </si>
  <si>
    <t>Asplenium trichomanes</t>
  </si>
  <si>
    <t>Maidenhair Spleenwort</t>
  </si>
  <si>
    <t>Rhynchostegium confertum</t>
  </si>
  <si>
    <t>Clustered Feather-moss</t>
  </si>
  <si>
    <t>Capreolus capreolus</t>
  </si>
  <si>
    <t>Roe Deer</t>
  </si>
  <si>
    <t>Rhyzobius lophanthae</t>
  </si>
  <si>
    <t>Gastrodes grossipes</t>
  </si>
  <si>
    <t>Pine Cone Bug</t>
  </si>
  <si>
    <t>Umbilicus rupestris</t>
  </si>
  <si>
    <t>Navelwort</t>
  </si>
  <si>
    <t>Rubus fruticosus</t>
  </si>
  <si>
    <t>Bramble</t>
  </si>
  <si>
    <t>Mnium hornum</t>
  </si>
  <si>
    <t>Swan's-neck Thyme-moss</t>
  </si>
  <si>
    <t>Marchantia polymorpha</t>
  </si>
  <si>
    <t>Common Liverwort</t>
  </si>
  <si>
    <t>Hedera helix</t>
  </si>
  <si>
    <t>Ivy</t>
  </si>
  <si>
    <t>Juncus effusus</t>
  </si>
  <si>
    <t>Soft-rush</t>
  </si>
  <si>
    <t>Acanthosoma haemorrhoidale</t>
  </si>
  <si>
    <t>Hawthorn Shieldbug</t>
  </si>
  <si>
    <t>Galanthus nivalis</t>
  </si>
  <si>
    <t>Primula veris</t>
  </si>
  <si>
    <t>Cowslip</t>
  </si>
  <si>
    <t>Pylaisia polyantha</t>
  </si>
  <si>
    <t>Many-flowered Leskea</t>
  </si>
  <si>
    <t>Lunularia cruciata</t>
  </si>
  <si>
    <t>Crescent-cup Liverwort</t>
  </si>
  <si>
    <t>Metzgeria furcata</t>
  </si>
  <si>
    <t>Forked Veilwort</t>
  </si>
  <si>
    <t>Racomitrium aciculare</t>
  </si>
  <si>
    <t>Yellow Fringe-moss</t>
  </si>
  <si>
    <t>Heteromyza</t>
  </si>
  <si>
    <t>Primula</t>
  </si>
  <si>
    <t>Primrose</t>
  </si>
  <si>
    <t>Brachythecium albicans</t>
  </si>
  <si>
    <t>Whitish Feather-moss</t>
  </si>
  <si>
    <t>Syntrichia ruralis</t>
  </si>
  <si>
    <t>Great Hairy Screw-moss</t>
  </si>
  <si>
    <t>Funaria hygrometrica</t>
  </si>
  <si>
    <t>Common Cord-moss</t>
  </si>
  <si>
    <t>Neanura muscorum</t>
  </si>
  <si>
    <t>Asplenium adiantum-nigrum</t>
  </si>
  <si>
    <t>Black Spleenwort</t>
  </si>
  <si>
    <t>Urtica dioica</t>
  </si>
  <si>
    <t>Common Nettle</t>
  </si>
  <si>
    <t>Ctenidium molluscum</t>
  </si>
  <si>
    <t>Chalk Comb-moss</t>
  </si>
  <si>
    <t>Cryphaea heteromalla</t>
  </si>
  <si>
    <t>Lateral Cryphaea</t>
  </si>
  <si>
    <t>Typha latifolia</t>
  </si>
  <si>
    <t>Bulrush</t>
  </si>
  <si>
    <t>Senecio vulgaris</t>
  </si>
  <si>
    <t>Groundsel</t>
  </si>
  <si>
    <t>Euphorbia</t>
  </si>
  <si>
    <t>Spurge</t>
  </si>
  <si>
    <t>Delia radicum</t>
  </si>
  <si>
    <t>Riccardia palmata</t>
  </si>
  <si>
    <t>Palmate Germanderwort</t>
  </si>
  <si>
    <t>Dorytomus taeniatus</t>
  </si>
  <si>
    <t>Sphagnum papillosum</t>
  </si>
  <si>
    <t>Papillose Bog-moss</t>
  </si>
  <si>
    <t>Capsella bursa-pastoris</t>
  </si>
  <si>
    <t>Shepherd's-purse</t>
  </si>
  <si>
    <t>Polytrichum strictum</t>
  </si>
  <si>
    <t>Strict Haircap</t>
  </si>
  <si>
    <t>Valeriana</t>
  </si>
  <si>
    <t>Valerian</t>
  </si>
  <si>
    <t>Adalia decempunctata</t>
  </si>
  <si>
    <t>10-spot Ladybird</t>
  </si>
  <si>
    <t>Pteridium aquilinum</t>
  </si>
  <si>
    <t>Bracken</t>
  </si>
  <si>
    <t>Monobella grassei</t>
  </si>
  <si>
    <t>Rosa arvensis</t>
  </si>
  <si>
    <t>Field-rose</t>
  </si>
  <si>
    <t>Marchantia polymorpha subsp. polymorpha</t>
  </si>
  <si>
    <t>Betula pubescens</t>
  </si>
  <si>
    <t>Downy Birch</t>
  </si>
  <si>
    <t>Racomitrium fasciculare</t>
  </si>
  <si>
    <t>Green Mountain Fringe-moss</t>
  </si>
  <si>
    <t>Syntrichia montana</t>
  </si>
  <si>
    <t>Intermediate Screw-moss</t>
  </si>
  <si>
    <t>Tytthaspis sedecimpunctata</t>
  </si>
  <si>
    <t>16-spot Ladybird</t>
  </si>
  <si>
    <t>Rhytidiadelphus loreus</t>
  </si>
  <si>
    <t>Little Shaggy-moss</t>
  </si>
  <si>
    <t>Vinca major</t>
  </si>
  <si>
    <t>Greater Periwinkle</t>
  </si>
  <si>
    <t>Dicranoweisia cirrata</t>
  </si>
  <si>
    <t>Common Pincushion</t>
  </si>
  <si>
    <t>Sonchus</t>
  </si>
  <si>
    <t>Sow Thistle</t>
  </si>
  <si>
    <t>Petasites pyrenaicus</t>
  </si>
  <si>
    <t>Winter Heliotrope</t>
  </si>
  <si>
    <t>Lamiastrum galeobdolon subsp. argentatum</t>
  </si>
  <si>
    <t>Fissidens taxifolius</t>
  </si>
  <si>
    <t>Common Pocket-moss</t>
  </si>
  <si>
    <t>Polystichum aculeatum</t>
  </si>
  <si>
    <t>Hard Shield-fern</t>
  </si>
  <si>
    <t>Calvia quattuordecimguttata</t>
  </si>
  <si>
    <t>Cream-spot Ladybird</t>
  </si>
  <si>
    <t>Carduus nutans</t>
  </si>
  <si>
    <t>Musk Thistle</t>
  </si>
  <si>
    <t>Frullania dilatata</t>
  </si>
  <si>
    <t>Dilated Scalewort</t>
  </si>
  <si>
    <t>Ulex europaeus</t>
  </si>
  <si>
    <t>Gorse</t>
  </si>
  <si>
    <t>Oxyrrhynchium hians</t>
  </si>
  <si>
    <t>Swartz's Feather-moss</t>
  </si>
  <si>
    <t>Dicranella heteromalla</t>
  </si>
  <si>
    <t>Silky Forklet-moss</t>
  </si>
  <si>
    <t>Wednesday</t>
  </si>
  <si>
    <t>February</t>
  </si>
  <si>
    <t>Thursday</t>
  </si>
  <si>
    <t>January</t>
  </si>
  <si>
    <t>Saturday</t>
  </si>
  <si>
    <t>Sunday</t>
  </si>
  <si>
    <t>Tuesday</t>
  </si>
  <si>
    <t>Monday</t>
  </si>
  <si>
    <t>Friday</t>
  </si>
  <si>
    <t>Type</t>
  </si>
  <si>
    <t>Ladybird</t>
  </si>
  <si>
    <t>Shieldbug</t>
  </si>
  <si>
    <t>COUNTA of Type</t>
  </si>
  <si>
    <t>Grand Total</t>
  </si>
  <si>
    <t>Observation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</si>
</sst>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yy"/>
  </numFmts>
  <fonts count="5">
    <font>
      <sz val="10.0"/>
      <color rgb="FF000000"/>
      <name val="Arial"/>
      <scheme val="minor"/>
    </font>
    <font>
      <b/>
      <sz val="10.0"/>
      <color theme="1"/>
      <name val="Arial"/>
    </font>
    <font>
      <sz val="10.0"/>
      <color theme="1"/>
      <name val="Arial"/>
    </font>
    <font>
      <sz val="10.0"/>
      <color rgb="FF000000"/>
      <name val="Arial"/>
    </font>
    <font>
      <b/>
      <sz val="20.0"/>
      <color theme="1"/>
      <name val="Arial"/>
    </font>
  </fonts>
  <fills count="2">
    <fill>
      <patternFill patternType="none"/>
    </fill>
    <fill>
      <patternFill patternType="lightGray"/>
    </fill>
  </fills>
  <borders count="11">
    <border/>
    <border>
      <left style="thin">
        <color rgb="FFABABAB"/>
      </left>
      <top style="thin">
        <color rgb="FFABABAB"/>
      </top>
    </border>
    <border>
      <left style="thin">
        <color rgb="FFFFFFFF"/>
      </left>
      <top style="thin">
        <color rgb="FFABABAB"/>
      </top>
    </border>
    <border>
      <left style="thin">
        <color rgb="FFFFFFFF"/>
      </left>
      <right style="thin">
        <color rgb="FFABABAB"/>
      </right>
      <top style="thin">
        <color rgb="FFABABAB"/>
      </top>
    </border>
    <border>
      <top style="thin">
        <color rgb="FFABABAB"/>
      </top>
    </border>
    <border>
      <left style="thin">
        <color rgb="FFABABAB"/>
      </left>
      <right style="thin">
        <color rgb="FFABABAB"/>
      </right>
      <top style="thin">
        <color rgb="FFABABAB"/>
      </top>
    </border>
    <border>
      <left style="thin">
        <color rgb="FFABABAB"/>
      </left>
    </border>
    <border>
      <left style="thin">
        <color rgb="FFABABAB"/>
      </left>
      <right style="thin">
        <color rgb="FFABABAB"/>
      </right>
    </border>
    <border>
      <left style="thin">
        <color rgb="FFABABAB"/>
      </left>
      <top style="thin">
        <color rgb="FFABABAB"/>
      </top>
      <bottom style="thin">
        <color rgb="FFABABAB"/>
      </bottom>
    </border>
    <border>
      <top style="thin">
        <color rgb="FFABABAB"/>
      </top>
      <bottom style="thin">
        <color rgb="FFABABAB"/>
      </bottom>
    </border>
    <border>
      <left style="thin">
        <color rgb="FFABABAB"/>
      </left>
      <right style="thin">
        <color rgb="FFABABAB"/>
      </right>
      <top style="thin">
        <color rgb="FFABABAB"/>
      </top>
      <bottom style="thin">
        <color rgb="FFABABAB"/>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xf>
    <xf borderId="0" fillId="0" fontId="1" numFmtId="164" xfId="0" applyAlignment="1" applyFont="1" applyNumberFormat="1">
      <alignment horizontal="center"/>
    </xf>
    <xf borderId="0" fillId="0" fontId="2" numFmtId="0" xfId="0" applyAlignment="1" applyFont="1">
      <alignment horizontal="center"/>
    </xf>
    <xf borderId="0" fillId="0" fontId="2" numFmtId="0" xfId="0" applyFont="1"/>
    <xf borderId="0" fillId="0" fontId="2" numFmtId="164" xfId="0" applyFont="1" applyNumberFormat="1"/>
    <xf borderId="0" fillId="0" fontId="1" numFmtId="0" xfId="0" applyFont="1"/>
    <xf borderId="0" fillId="0" fontId="1" numFmtId="164" xfId="0" applyFont="1" applyNumberFormat="1"/>
    <xf borderId="0" fillId="0" fontId="1" numFmtId="1" xfId="0" applyFont="1" applyNumberFormat="1"/>
    <xf borderId="0" fillId="0" fontId="2" numFmtId="1" xfId="0" applyFont="1" applyNumberFormat="1"/>
    <xf borderId="1" fillId="0" fontId="3" numFmtId="0" xfId="0" applyBorder="1" applyFont="1"/>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0" fillId="0" fontId="3" numFmtId="0" xfId="0"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0" fillId="0" fontId="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Observations of Ladybird and Shieldbugs</a:t>
            </a:r>
          </a:p>
        </c:rich>
      </c:tx>
      <c:overlay val="0"/>
    </c:title>
    <c:plotArea>
      <c:layout/>
      <c:barChart>
        <c:barDir val="bar"/>
        <c:ser>
          <c:idx val="0"/>
          <c:order val="0"/>
          <c:tx>
            <c:v>COUNTA of Type</c:v>
          </c:tx>
          <c:spPr>
            <a:solidFill>
              <a:srgbClr val="4285F4"/>
            </a:solidFill>
            <a:ln cmpd="sng">
              <a:solidFill>
                <a:srgbClr val="000000"/>
              </a:solidFill>
            </a:ln>
          </c:spPr>
          <c:cat>
            <c:strRef>
              <c:f>'Pivot Table'!$A$8:$A$17</c:f>
            </c:strRef>
          </c:cat>
          <c:val>
            <c:numRef>
              <c:f>'Pivot Table'!$B$8:$B$17</c:f>
              <c:numCache/>
            </c:numRef>
          </c:val>
        </c:ser>
        <c:axId val="868978786"/>
        <c:axId val="897602747"/>
      </c:barChart>
      <c:catAx>
        <c:axId val="868978786"/>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Common name</a:t>
                </a:r>
              </a:p>
            </c:rich>
          </c:tx>
          <c:overlay val="0"/>
        </c:title>
        <c:numFmt formatCode="General" sourceLinked="1"/>
        <c:majorTickMark val="none"/>
        <c:minorTickMark val="none"/>
        <c:spPr/>
        <c:txPr>
          <a:bodyPr/>
          <a:lstStyle/>
          <a:p>
            <a:pPr lvl="0">
              <a:defRPr b="0" i="0">
                <a:solidFill>
                  <a:srgbClr val="000000"/>
                </a:solidFill>
                <a:latin typeface="+mn-lt"/>
              </a:defRPr>
            </a:pPr>
          </a:p>
        </c:txPr>
        <c:crossAx val="897602747"/>
      </c:catAx>
      <c:valAx>
        <c:axId val="8976027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68978786"/>
        <c:crosses val="max"/>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Ladybirds and Shieldbugs by Month</a:t>
            </a:r>
          </a:p>
        </c:rich>
      </c:tx>
      <c:overlay val="0"/>
    </c:title>
    <c:plotArea>
      <c:layout/>
      <c:barChart>
        <c:barDir val="col"/>
        <c:ser>
          <c:idx val="0"/>
          <c:order val="0"/>
          <c:tx>
            <c:v>Type Shieldbug</c:v>
          </c:tx>
          <c:spPr>
            <a:solidFill>
              <a:srgbClr val="4285F4"/>
            </a:solidFill>
            <a:ln cmpd="sng">
              <a:solidFill>
                <a:srgbClr val="000000"/>
              </a:solidFill>
            </a:ln>
          </c:spPr>
          <c:cat>
            <c:strRef>
              <c:f>'Pivot Table'!$A$3:$A$4</c:f>
            </c:strRef>
          </c:cat>
          <c:val>
            <c:numRef>
              <c:f>'Pivot Table'!$C$3:$C$4</c:f>
              <c:numCache/>
            </c:numRef>
          </c:val>
        </c:ser>
        <c:ser>
          <c:idx val="1"/>
          <c:order val="1"/>
          <c:tx>
            <c:v>Type Grand Total</c:v>
          </c:tx>
          <c:spPr>
            <a:solidFill>
              <a:srgbClr val="EA4335"/>
            </a:solidFill>
            <a:ln cmpd="sng">
              <a:solidFill>
                <a:srgbClr val="000000"/>
              </a:solidFill>
            </a:ln>
          </c:spPr>
          <c:cat>
            <c:strRef>
              <c:f>'Pivot Table'!$A$3:$A$4</c:f>
            </c:strRef>
          </c:cat>
          <c:val>
            <c:numRef>
              <c:f>'Pivot Table'!$D$3:$D$4</c:f>
              <c:numCache/>
            </c:numRef>
          </c:val>
        </c:ser>
        <c:axId val="156594915"/>
        <c:axId val="2090154727"/>
      </c:barChart>
      <c:catAx>
        <c:axId val="156594915"/>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Month</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90154727"/>
      </c:catAx>
      <c:valAx>
        <c:axId val="20901547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6594915"/>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Monthly totals of Ladybirds and Shieldbugs</a:t>
            </a:r>
          </a:p>
        </c:rich>
      </c:tx>
      <c:overlay val="0"/>
    </c:title>
    <c:plotArea>
      <c:layout/>
      <c:barChart>
        <c:barDir val="col"/>
        <c:ser>
          <c:idx val="0"/>
          <c:order val="0"/>
          <c:tx>
            <c:v>Month January</c:v>
          </c:tx>
          <c:spPr>
            <a:solidFill>
              <a:srgbClr val="4285F4"/>
            </a:solidFill>
            <a:ln cmpd="sng">
              <a:solidFill>
                <a:srgbClr val="000000"/>
              </a:solidFill>
            </a:ln>
          </c:spPr>
          <c:cat>
            <c:strRef>
              <c:f>'Pivot Table'!$F$3:$F$11</c:f>
            </c:strRef>
          </c:cat>
          <c:val>
            <c:numRef>
              <c:f>'Pivot Table'!$G$3:$G$11</c:f>
              <c:numCache/>
            </c:numRef>
          </c:val>
        </c:ser>
        <c:ser>
          <c:idx val="1"/>
          <c:order val="1"/>
          <c:tx>
            <c:v>Month February</c:v>
          </c:tx>
          <c:spPr>
            <a:solidFill>
              <a:srgbClr val="EA4335"/>
            </a:solidFill>
            <a:ln cmpd="sng">
              <a:solidFill>
                <a:srgbClr val="000000"/>
              </a:solidFill>
            </a:ln>
          </c:spPr>
          <c:cat>
            <c:strRef>
              <c:f>'Pivot Table'!$F$3:$F$11</c:f>
            </c:strRef>
          </c:cat>
          <c:val>
            <c:numRef>
              <c:f>'Pivot Table'!$H$3:$H$11</c:f>
              <c:numCache/>
            </c:numRef>
          </c:val>
        </c:ser>
        <c:axId val="1400615087"/>
        <c:axId val="183824626"/>
      </c:barChart>
      <c:catAx>
        <c:axId val="1400615087"/>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Common name</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3824626"/>
      </c:catAx>
      <c:valAx>
        <c:axId val="1838246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00615087"/>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Ladybirds and Shieldbugs by Month</a:t>
            </a:r>
          </a:p>
        </c:rich>
      </c:tx>
      <c:overlay val="0"/>
    </c:title>
    <c:plotArea>
      <c:layout/>
      <c:barChart>
        <c:barDir val="col"/>
        <c:ser>
          <c:idx val="0"/>
          <c:order val="0"/>
          <c:tx>
            <c:v>Shieldbug</c:v>
          </c:tx>
          <c:spPr>
            <a:solidFill>
              <a:srgbClr val="93C47D"/>
            </a:solidFill>
            <a:ln cmpd="sng">
              <a:solidFill>
                <a:srgbClr val="000000"/>
              </a:solidFill>
            </a:ln>
          </c:spPr>
          <c:cat>
            <c:strRef>
              <c:f>'Pivot Table'!$A$3:$A$4</c:f>
            </c:strRef>
          </c:cat>
          <c:val>
            <c:numRef>
              <c:f>'Pivot Table'!$C$3:$C$4</c:f>
              <c:numCache/>
            </c:numRef>
          </c:val>
        </c:ser>
        <c:ser>
          <c:idx val="1"/>
          <c:order val="1"/>
          <c:tx>
            <c:v>Ladybird</c:v>
          </c:tx>
          <c:spPr>
            <a:solidFill>
              <a:srgbClr val="CC0000"/>
            </a:solidFill>
            <a:ln cmpd="sng">
              <a:solidFill>
                <a:srgbClr val="000000"/>
              </a:solidFill>
            </a:ln>
          </c:spPr>
          <c:cat>
            <c:strRef>
              <c:f>'Pivot Table'!$A$3:$A$4</c:f>
            </c:strRef>
          </c:cat>
          <c:val>
            <c:numRef>
              <c:f>'Pivot Table'!$B$3:$B$4</c:f>
              <c:numCache/>
            </c:numRef>
          </c:val>
        </c:ser>
        <c:axId val="34472938"/>
        <c:axId val="408322930"/>
      </c:barChart>
      <c:catAx>
        <c:axId val="34472938"/>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Month</a:t>
                </a:r>
              </a:p>
            </c:rich>
          </c:tx>
          <c:overlay val="0"/>
        </c:title>
        <c:numFmt formatCode="General" sourceLinked="1"/>
        <c:majorTickMark val="none"/>
        <c:minorTickMark val="none"/>
        <c:spPr/>
        <c:txPr>
          <a:bodyPr/>
          <a:lstStyle/>
          <a:p>
            <a:pPr lvl="0">
              <a:defRPr b="0" i="0">
                <a:solidFill>
                  <a:srgbClr val="000000"/>
                </a:solidFill>
                <a:latin typeface="+mn-lt"/>
              </a:defRPr>
            </a:pPr>
          </a:p>
        </c:txPr>
        <c:crossAx val="408322930"/>
      </c:catAx>
      <c:valAx>
        <c:axId val="4083229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4472938"/>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Total Observations by Bug</a:t>
            </a:r>
          </a:p>
        </c:rich>
      </c:tx>
      <c:overlay val="0"/>
    </c:title>
    <c:plotArea>
      <c:layout/>
      <c:pieChart>
        <c:varyColors val="1"/>
        <c:ser>
          <c:idx val="0"/>
          <c:order val="0"/>
          <c:tx>
            <c:strRef>
              <c:f>'Pivot Table'!$B$7</c:f>
            </c:strRef>
          </c:tx>
          <c:dPt>
            <c:idx val="0"/>
            <c:spPr>
              <a:solidFill>
                <a:srgbClr val="FFFF00"/>
              </a:solidFill>
            </c:spPr>
          </c:dPt>
          <c:dPt>
            <c:idx val="1"/>
            <c:spPr>
              <a:solidFill>
                <a:srgbClr val="FF00FF"/>
              </a:solidFill>
            </c:spPr>
          </c:dPt>
          <c:dPt>
            <c:idx val="2"/>
            <c:spPr>
              <a:solidFill>
                <a:srgbClr val="FFF2CC"/>
              </a:solidFill>
            </c:spPr>
          </c:dPt>
          <c:dPt>
            <c:idx val="3"/>
            <c:spPr>
              <a:solidFill>
                <a:srgbClr val="34A853"/>
              </a:solidFill>
            </c:spPr>
          </c:dPt>
          <c:dPt>
            <c:idx val="4"/>
            <c:spPr>
              <a:solidFill>
                <a:srgbClr val="9900FF"/>
              </a:solidFill>
            </c:spPr>
          </c:dPt>
          <c:dPt>
            <c:idx val="5"/>
            <c:spPr>
              <a:solidFill>
                <a:srgbClr val="FF0000"/>
              </a:solidFill>
            </c:spPr>
          </c:dPt>
          <c:dPt>
            <c:idx val="6"/>
            <c:spPr>
              <a:solidFill>
                <a:srgbClr val="7BAAF7"/>
              </a:solidFill>
            </c:spPr>
          </c:dPt>
          <c:dPt>
            <c:idx val="7"/>
            <c:spPr>
              <a:solidFill>
                <a:srgbClr val="F07B72"/>
              </a:solidFill>
            </c:spPr>
          </c:dPt>
          <c:dPt>
            <c:idx val="8"/>
            <c:spPr>
              <a:solidFill>
                <a:srgbClr val="0B5394"/>
              </a:solidFill>
            </c:spPr>
          </c:dPt>
          <c:dLbls>
            <c:showLegendKey val="0"/>
            <c:showVal val="0"/>
            <c:showCatName val="0"/>
            <c:showSerName val="0"/>
            <c:showPercent val="0"/>
            <c:showBubbleSize val="0"/>
            <c:showLeaderLines val="1"/>
          </c:dLbls>
          <c:cat>
            <c:strRef>
              <c:f>'Pivot Table'!$A$8:$A$16</c:f>
            </c:strRef>
          </c:cat>
          <c:val>
            <c:numRef>
              <c:f>'Pivot Table'!$B$8:$B$16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Monthly totals of Ladybirds and Shieldbugs</a:t>
            </a:r>
          </a:p>
        </c:rich>
      </c:tx>
      <c:overlay val="0"/>
    </c:title>
    <c:plotArea>
      <c:layout/>
      <c:barChart>
        <c:barDir val="col"/>
        <c:ser>
          <c:idx val="0"/>
          <c:order val="0"/>
          <c:tx>
            <c:v>January</c:v>
          </c:tx>
          <c:spPr>
            <a:solidFill>
              <a:srgbClr val="4285F4"/>
            </a:solidFill>
            <a:ln cmpd="sng">
              <a:solidFill>
                <a:srgbClr val="000000"/>
              </a:solidFill>
            </a:ln>
          </c:spPr>
          <c:cat>
            <c:strRef>
              <c:f>'Pivot Table'!$F$3:$F$11</c:f>
            </c:strRef>
          </c:cat>
          <c:val>
            <c:numRef>
              <c:f>'Pivot Table'!$G$3:$G$11</c:f>
              <c:numCache/>
            </c:numRef>
          </c:val>
        </c:ser>
        <c:ser>
          <c:idx val="1"/>
          <c:order val="1"/>
          <c:tx>
            <c:v>February</c:v>
          </c:tx>
          <c:spPr>
            <a:solidFill>
              <a:srgbClr val="EA4335"/>
            </a:solidFill>
            <a:ln cmpd="sng">
              <a:solidFill>
                <a:srgbClr val="000000"/>
              </a:solidFill>
            </a:ln>
          </c:spPr>
          <c:cat>
            <c:strRef>
              <c:f>'Pivot Table'!$F$3:$F$11</c:f>
            </c:strRef>
          </c:cat>
          <c:val>
            <c:numRef>
              <c:f>'Pivot Table'!$H$3:$H$11</c:f>
              <c:numCache/>
            </c:numRef>
          </c:val>
        </c:ser>
        <c:axId val="1236281028"/>
        <c:axId val="1329163679"/>
      </c:barChart>
      <c:catAx>
        <c:axId val="1236281028"/>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Common name</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29163679"/>
      </c:catAx>
      <c:valAx>
        <c:axId val="1329163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236281028"/>
      </c:valAx>
    </c:plotArea>
    <c:legend>
      <c:legendPos val="r"/>
      <c:overlay val="0"/>
      <c:txPr>
        <a:bodyPr/>
        <a:lstStyle/>
        <a:p>
          <a:pPr lvl="0">
            <a:defRPr b="0" i="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21</xdr:row>
      <xdr:rowOff>9525</xdr:rowOff>
    </xdr:from>
    <xdr:ext cx="3048000" cy="1323975"/>
    <xdr:pic>
      <xdr:nvPicPr>
        <xdr:cNvPr id="0" name="image1.png" title="Chart"/>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1</xdr:row>
      <xdr:rowOff>114300</xdr:rowOff>
    </xdr:from>
    <xdr:ext cx="5124450" cy="3171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476250</xdr:colOff>
      <xdr:row>1</xdr:row>
      <xdr:rowOff>161925</xdr:rowOff>
    </xdr:from>
    <xdr:ext cx="3838575" cy="23717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476250</xdr:colOff>
      <xdr:row>19</xdr:row>
      <xdr:rowOff>114300</xdr:rowOff>
    </xdr:from>
    <xdr:ext cx="7639050" cy="29718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1</xdr:row>
      <xdr:rowOff>95250</xdr:rowOff>
    </xdr:from>
    <xdr:ext cx="3705225" cy="19526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xdr:row>
      <xdr:rowOff>76200</xdr:rowOff>
    </xdr:from>
    <xdr:ext cx="3914775" cy="19716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11</xdr:row>
      <xdr:rowOff>19050</xdr:rowOff>
    </xdr:from>
    <xdr:ext cx="7753350" cy="320040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257175</xdr:colOff>
      <xdr:row>0</xdr:row>
      <xdr:rowOff>9525</xdr:rowOff>
    </xdr:from>
    <xdr:ext cx="2181225" cy="2857500"/>
    <mc:AlternateContent>
      <mc:Choice Requires="sle15">
        <xdr:graphicFrame>
          <xdr:nvGraphicFramePr>
            <xdr:cNvPr id="1" name="Common name_1"/>
            <xdr:cNvGraphicFramePr/>
          </xdr:nvGraphicFramePr>
          <xdr:xfrm>
            <a:off x="0" y="0"/>
            <a:ext cx="0" cy="0"/>
          </xdr:xfrm>
          <a:graphic>
            <a:graphicData uri="http://schemas.microsoft.com/office/drawing/2010/slicer">
              <x3Unk:slicer name="Common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704850</xdr:colOff>
      <xdr:row>0</xdr:row>
      <xdr:rowOff>0</xdr:rowOff>
    </xdr:from>
    <xdr:ext cx="1905000" cy="2857500"/>
    <mc:AlternateContent>
      <mc:Choice Requires="sle15">
        <xdr:graphicFrame>
          <xdr:nvGraphicFramePr>
            <xdr:cNvPr id="2" name="Month_2"/>
            <xdr:cNvGraphicFramePr/>
          </xdr:nvGraphicFramePr>
          <xdr:xfrm>
            <a:off x="0" y="0"/>
            <a:ext cx="0" cy="0"/>
          </xdr:xfrm>
          <a:graphic>
            <a:graphicData uri="http://schemas.microsoft.com/office/drawing/2010/slicer">
              <x3Unk:slicer name="Mont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514350</xdr:colOff>
      <xdr:row>0</xdr:row>
      <xdr:rowOff>0</xdr:rowOff>
    </xdr:from>
    <xdr:ext cx="2114550" cy="2857500"/>
    <mc:AlternateContent>
      <mc:Choice Requires="sle15">
        <xdr:graphicFrame>
          <xdr:nvGraphicFramePr>
            <xdr:cNvPr id="3" name="Type_3"/>
            <xdr:cNvGraphicFramePr/>
          </xdr:nvGraphicFramePr>
          <xdr:xfrm>
            <a:off x="0" y="0"/>
            <a:ext cx="0" cy="0"/>
          </xdr:xfrm>
          <a:graphic>
            <a:graphicData uri="http://schemas.microsoft.com/office/drawing/2010/slicer">
              <x3Unk:slicer name="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295275</xdr:colOff>
      <xdr:row>1</xdr:row>
      <xdr:rowOff>180975</xdr:rowOff>
    </xdr:from>
    <xdr:ext cx="1095375" cy="647700"/>
    <xdr:pic>
      <xdr:nvPicPr>
        <xdr:cNvPr id="0" name="image2.png" title="Chart"/>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29" sheet="GSQ"/>
  </cacheSource>
  <cacheFields>
    <cacheField name="Common name" numFmtId="0">
      <sharedItems>
        <s v="2-spot Ladybird"/>
        <s v="Orange Ladybird"/>
        <s v="7-spot Ladybird"/>
        <s v="Harlequin Ladybird"/>
        <s v="Green Shieldbug"/>
        <s v="Hawthorn Shieldbug"/>
        <s v="10-spot Ladybird"/>
        <s v="16-spot Ladybird"/>
        <s v="Cream-spot Ladybird"/>
      </sharedItems>
    </cacheField>
    <cacheField name="Event Date" numFmtId="164">
      <sharedItems containsSemiMixedTypes="0" containsDate="1" containsString="0">
        <d v="2026-01-31T00:00:00Z"/>
        <d v="2026-02-14T00:00:00Z"/>
        <d v="2026-02-20T00:00:00Z"/>
        <d v="2026-01-09T00:00:00Z"/>
        <d v="2026-02-08T00:00:00Z"/>
        <d v="2026-02-24T00:00:00Z"/>
        <d v="2026-01-23T00:00:00Z"/>
        <d v="2026-02-22T00:00:00Z"/>
        <d v="2026-01-24T00:00:00Z"/>
        <d v="2026-01-20T00:00:00Z"/>
        <d v="2026-01-25T00:00:00Z"/>
        <d v="2026-02-18T00:00:00Z"/>
      </sharedItems>
    </cacheField>
    <cacheField name="Month" numFmtId="0">
      <sharedItems>
        <s v="January"/>
        <s v="February"/>
      </sharedItems>
    </cacheField>
    <cacheField name="Type" numFmtId="0">
      <sharedItems>
        <s v="Ladybird"/>
        <s v="Shieldbug"/>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cheId="0" dataCaption="" compact="0" compactData="0">
  <location ref="A1:D5" firstHeaderRow="0" firstDataRow="1" firstDataCol="1"/>
  <pivotFields>
    <pivotField name="Common name" compact="0" outline="0" multipleItemSelectionAllowed="1" showAll="0">
      <items>
        <item x="0"/>
        <item x="1"/>
        <item x="2"/>
        <item x="3"/>
        <item x="4"/>
        <item x="5"/>
        <item x="6"/>
        <item x="7"/>
        <item x="8"/>
        <item t="default"/>
      </items>
    </pivotField>
    <pivotField name="Event Date" compact="0" numFmtId="164" outline="0" multipleItemSelectionAllowed="1" showAll="0">
      <items>
        <item x="0"/>
        <item x="1"/>
        <item x="2"/>
        <item x="3"/>
        <item x="4"/>
        <item x="5"/>
        <item x="6"/>
        <item x="7"/>
        <item x="8"/>
        <item x="9"/>
        <item x="10"/>
        <item x="11"/>
        <item t="default"/>
      </items>
    </pivotField>
    <pivotField name="Month" axis="axisRow" compact="0" outline="0" multipleItemSelectionAllowed="1" showAll="0" sortType="ascending">
      <items>
        <item x="1"/>
        <item x="0"/>
        <item t="default"/>
      </items>
    </pivotField>
    <pivotField name="Type" axis="axisCol" dataField="1" compact="0" outline="0" multipleItemSelectionAllowed="1" showAll="0" sortType="ascending">
      <items>
        <item x="0"/>
        <item x="1"/>
        <item t="default"/>
      </items>
    </pivotField>
  </pivotFields>
  <rowFields>
    <field x="2"/>
  </rowFields>
  <colFields>
    <field x="3"/>
  </colFields>
  <dataFields>
    <dataField name="COUNTA of Type" fld="3" subtotal="count" baseField="0"/>
  </dataFields>
</pivotTableDefinition>
</file>

<file path=xl/pivotTables/pivotTable2.xml><?xml version="1.0" encoding="utf-8"?>
<pivotTableDefinition xmlns="http://schemas.openxmlformats.org/spreadsheetml/2006/main" name="Pivot Table 2" cacheId="0" dataCaption="" compact="0" compactData="0">
  <location ref="F1:I12" firstHeaderRow="0" firstDataRow="1" firstDataCol="1"/>
  <pivotFields>
    <pivotField name="Common name" axis="axisRow" compact="0" outline="0" multipleItemSelectionAllowed="1" showAll="0" sortType="ascending">
      <items>
        <item x="6"/>
        <item x="7"/>
        <item x="0"/>
        <item x="2"/>
        <item x="8"/>
        <item x="4"/>
        <item x="3"/>
        <item x="5"/>
        <item x="1"/>
        <item t="default"/>
      </items>
    </pivotField>
    <pivotField name="Event Date" compact="0" numFmtId="164" outline="0" multipleItemSelectionAllowed="1" showAll="0">
      <items>
        <item x="0"/>
        <item x="1"/>
        <item x="2"/>
        <item x="3"/>
        <item x="4"/>
        <item x="5"/>
        <item x="6"/>
        <item x="7"/>
        <item x="8"/>
        <item x="9"/>
        <item x="10"/>
        <item x="11"/>
        <item t="default"/>
      </items>
    </pivotField>
    <pivotField name="Month" axis="axisCol" compact="0" outline="0" multipleItemSelectionAllowed="1" showAll="0" sortType="ascending">
      <items>
        <item x="1"/>
        <item x="0"/>
        <item t="default"/>
      </items>
    </pivotField>
    <pivotField name="Type" dataField="1" compact="0" outline="0" multipleItemSelectionAllowed="1" showAll="0">
      <items>
        <item x="0"/>
        <item x="1"/>
        <item t="default"/>
      </items>
    </pivotField>
  </pivotFields>
  <rowFields>
    <field x="0"/>
  </rowFields>
  <colFields>
    <field x="2"/>
  </colFields>
  <dataFields>
    <dataField name="COUNTA of Type" fld="3" subtotal="count" baseField="0"/>
  </dataFields>
</pivotTableDefinition>
</file>

<file path=xl/pivotTables/pivotTable3.xml><?xml version="1.0" encoding="utf-8"?>
<pivotTableDefinition xmlns="http://schemas.openxmlformats.org/spreadsheetml/2006/main" name="Pivot Table 3" cacheId="0" dataCaption="" compact="0" compactData="0">
  <location ref="A7:B17" firstHeaderRow="0" firstDataRow="1" firstDataCol="0"/>
  <pivotFields>
    <pivotField name="Common name" axis="axisRow" compact="0" outline="0" multipleItemSelectionAllowed="1" showAll="0" sortType="ascending">
      <items>
        <item x="6"/>
        <item x="7"/>
        <item x="0"/>
        <item x="2"/>
        <item x="8"/>
        <item x="4"/>
        <item x="3"/>
        <item x="5"/>
        <item x="1"/>
        <item t="default"/>
      </items>
    </pivotField>
    <pivotField name="Event Date" compact="0" numFmtId="164" outline="0" multipleItemSelectionAllowed="1" showAll="0">
      <items>
        <item x="0"/>
        <item x="1"/>
        <item x="2"/>
        <item x="3"/>
        <item x="4"/>
        <item x="5"/>
        <item x="6"/>
        <item x="7"/>
        <item x="8"/>
        <item x="9"/>
        <item x="10"/>
        <item x="11"/>
        <item t="default"/>
      </items>
    </pivotField>
    <pivotField name="Month" compact="0" outline="0" multipleItemSelectionAllowed="1" showAll="0">
      <items>
        <item x="0"/>
        <item x="1"/>
        <item t="default"/>
      </items>
    </pivotField>
    <pivotField name="Type" dataField="1" compact="0" outline="0" multipleItemSelectionAllowed="1" showAll="0">
      <items>
        <item x="0"/>
        <item x="1"/>
        <item t="default"/>
      </items>
    </pivotField>
  </pivotFields>
  <rowFields>
    <field x="0"/>
  </rowFields>
  <dataFields>
    <dataField name="COUNTA of Type" fld="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mmon nam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onth">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Typ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mmon name_1" cache="SlicerCache_Table_1_Col_1" caption="Common name" rowHeight="247650"/>
  <x14:slicer name="Month_2" cache="SlicerCache_Table_1_Col_3" caption="Month" rowHeight="247650"/>
  <x14:slicer name="Type_3" cache="SlicerCache_Table_1_Col_4" caption="Type" rowHeight="247650"/>
</x14:slicers>
</file>

<file path=xl/tables/table1.xml><?xml version="1.0" encoding="utf-8"?>
<table xmlns="http://schemas.openxmlformats.org/spreadsheetml/2006/main" ref="A1:D30" displayName="Table_1" name="Table_1" id="1">
  <autoFilter ref="$A$1:$D$30"/>
  <tableColumns count="4">
    <tableColumn name="Common name" id="1"/>
    <tableColumn name="Event Date" id="2"/>
    <tableColumn name="Month" id="3"/>
    <tableColumn name="Type"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3.5"/>
    <col customWidth="1" min="3" max="3" width="23.13"/>
    <col customWidth="1" min="4" max="4" width="12.63"/>
    <col customWidth="1" min="5" max="5" width="8.13"/>
    <col customWidth="1" min="6" max="6" width="12.63"/>
    <col customWidth="1" min="7" max="7" width="9.25"/>
  </cols>
  <sheetData>
    <row r="1" ht="15.75" customHeight="1">
      <c r="A1" s="1" t="s">
        <v>0</v>
      </c>
      <c r="B1" s="1" t="s">
        <v>1</v>
      </c>
      <c r="C1" s="1" t="s">
        <v>2</v>
      </c>
      <c r="D1" s="2" t="s">
        <v>3</v>
      </c>
      <c r="E1" s="1" t="s">
        <v>4</v>
      </c>
      <c r="F1" s="1" t="s">
        <v>5</v>
      </c>
      <c r="G1" s="1" t="s">
        <v>6</v>
      </c>
    </row>
    <row r="2" ht="15.75" customHeight="1">
      <c r="A2" s="3">
        <v>4.951291E7</v>
      </c>
      <c r="B2" s="4" t="s">
        <v>7</v>
      </c>
      <c r="C2" s="4" t="s">
        <v>8</v>
      </c>
      <c r="D2" s="5">
        <v>46057.0</v>
      </c>
      <c r="E2" s="3" t="str">
        <f t="shared" ref="E2:E376" si="1">TEXT(D2,"dddd")</f>
        <v>Wednesday</v>
      </c>
      <c r="F2" s="4" t="str">
        <f t="shared" ref="F2:F376" si="2">TEXT(D2,"mmmm")</f>
        <v>February</v>
      </c>
      <c r="G2" s="3">
        <v>2026.0</v>
      </c>
    </row>
    <row r="3" ht="15.75" customHeight="1">
      <c r="A3" s="3">
        <v>4.8742392E7</v>
      </c>
      <c r="B3" s="4" t="s">
        <v>9</v>
      </c>
      <c r="C3" s="4" t="s">
        <v>10</v>
      </c>
      <c r="D3" s="5">
        <v>46044.0</v>
      </c>
      <c r="E3" s="3" t="str">
        <f t="shared" si="1"/>
        <v>Thursday</v>
      </c>
      <c r="F3" s="4" t="str">
        <f t="shared" si="2"/>
        <v>January</v>
      </c>
      <c r="G3" s="3">
        <v>2026.0</v>
      </c>
    </row>
    <row r="4" ht="15.75" customHeight="1">
      <c r="A4" s="3">
        <v>4.8412817E7</v>
      </c>
      <c r="B4" s="4" t="s">
        <v>11</v>
      </c>
      <c r="C4" s="4" t="s">
        <v>12</v>
      </c>
      <c r="D4" s="5">
        <v>46023.0</v>
      </c>
      <c r="E4" s="3" t="str">
        <f t="shared" si="1"/>
        <v>Thursday</v>
      </c>
      <c r="F4" s="4" t="str">
        <f t="shared" si="2"/>
        <v>January</v>
      </c>
      <c r="G4" s="3">
        <v>2026.0</v>
      </c>
    </row>
    <row r="5" ht="15.75" customHeight="1">
      <c r="A5" s="3">
        <v>4.9622603E7</v>
      </c>
      <c r="B5" s="4" t="s">
        <v>13</v>
      </c>
      <c r="C5" s="4" t="s">
        <v>14</v>
      </c>
      <c r="D5" s="5">
        <v>46053.0</v>
      </c>
      <c r="E5" s="3" t="str">
        <f t="shared" si="1"/>
        <v>Saturday</v>
      </c>
      <c r="F5" s="4" t="str">
        <f t="shared" si="2"/>
        <v>January</v>
      </c>
      <c r="G5" s="3">
        <v>2026.0</v>
      </c>
    </row>
    <row r="6" ht="15.75" customHeight="1">
      <c r="A6" s="3">
        <v>4.9304161E7</v>
      </c>
      <c r="B6" s="4" t="s">
        <v>15</v>
      </c>
      <c r="C6" s="4" t="s">
        <v>16</v>
      </c>
      <c r="D6" s="5">
        <v>46054.0</v>
      </c>
      <c r="E6" s="3" t="str">
        <f t="shared" si="1"/>
        <v>Sunday</v>
      </c>
      <c r="F6" s="4" t="str">
        <f t="shared" si="2"/>
        <v>February</v>
      </c>
      <c r="G6" s="3">
        <v>2026.0</v>
      </c>
    </row>
    <row r="7" ht="15.75" customHeight="1">
      <c r="A7" s="3">
        <v>4.9724511E7</v>
      </c>
      <c r="B7" s="4" t="s">
        <v>17</v>
      </c>
      <c r="C7" s="4" t="s">
        <v>18</v>
      </c>
      <c r="D7" s="5">
        <v>46056.0</v>
      </c>
      <c r="E7" s="3" t="str">
        <f t="shared" si="1"/>
        <v>Tuesday</v>
      </c>
      <c r="F7" s="4" t="str">
        <f t="shared" si="2"/>
        <v>February</v>
      </c>
      <c r="G7" s="3">
        <v>2026.0</v>
      </c>
    </row>
    <row r="8" ht="15.75" customHeight="1">
      <c r="A8" s="3">
        <v>4.8902693E7</v>
      </c>
      <c r="B8" s="4" t="s">
        <v>19</v>
      </c>
      <c r="C8" s="4" t="s">
        <v>20</v>
      </c>
      <c r="D8" s="5">
        <v>46048.0</v>
      </c>
      <c r="E8" s="3" t="str">
        <f t="shared" si="1"/>
        <v>Monday</v>
      </c>
      <c r="F8" s="4" t="str">
        <f t="shared" si="2"/>
        <v>January</v>
      </c>
      <c r="G8" s="3">
        <v>2026.0</v>
      </c>
    </row>
    <row r="9" ht="15.75" customHeight="1">
      <c r="A9" s="3">
        <v>4.9395895E7</v>
      </c>
      <c r="B9" s="4" t="s">
        <v>21</v>
      </c>
      <c r="C9" s="4" t="s">
        <v>22</v>
      </c>
      <c r="D9" s="5">
        <v>46055.0</v>
      </c>
      <c r="E9" s="3" t="str">
        <f t="shared" si="1"/>
        <v>Monday</v>
      </c>
      <c r="F9" s="4" t="str">
        <f t="shared" si="2"/>
        <v>February</v>
      </c>
      <c r="G9" s="3">
        <v>2026.0</v>
      </c>
    </row>
    <row r="10" ht="15.75" customHeight="1">
      <c r="A10" s="3">
        <v>4.8601122E7</v>
      </c>
      <c r="B10" s="4" t="s">
        <v>23</v>
      </c>
      <c r="C10" s="4" t="s">
        <v>24</v>
      </c>
      <c r="D10" s="5">
        <v>46030.0</v>
      </c>
      <c r="E10" s="3" t="str">
        <f t="shared" si="1"/>
        <v>Thursday</v>
      </c>
      <c r="F10" s="4" t="str">
        <f t="shared" si="2"/>
        <v>January</v>
      </c>
      <c r="G10" s="3">
        <v>2026.0</v>
      </c>
    </row>
    <row r="11" ht="15.75" customHeight="1">
      <c r="A11" s="3">
        <v>4.9622601E7</v>
      </c>
      <c r="B11" s="4" t="s">
        <v>25</v>
      </c>
      <c r="C11" s="4" t="s">
        <v>26</v>
      </c>
      <c r="D11" s="5">
        <v>46053.0</v>
      </c>
      <c r="E11" s="3" t="str">
        <f t="shared" si="1"/>
        <v>Saturday</v>
      </c>
      <c r="F11" s="4" t="str">
        <f t="shared" si="2"/>
        <v>January</v>
      </c>
      <c r="G11" s="3">
        <v>2026.0</v>
      </c>
    </row>
    <row r="12" ht="15.75" customHeight="1">
      <c r="A12" s="3">
        <v>4.9888486E7</v>
      </c>
      <c r="B12" s="4" t="s">
        <v>27</v>
      </c>
      <c r="C12" s="4" t="s">
        <v>28</v>
      </c>
      <c r="D12" s="5">
        <v>46064.0</v>
      </c>
      <c r="E12" s="3" t="str">
        <f t="shared" si="1"/>
        <v>Wednesday</v>
      </c>
      <c r="F12" s="4" t="str">
        <f t="shared" si="2"/>
        <v>February</v>
      </c>
      <c r="G12" s="3">
        <v>2026.0</v>
      </c>
    </row>
    <row r="13" ht="15.75" customHeight="1">
      <c r="A13" s="3">
        <v>4.8665831E7</v>
      </c>
      <c r="B13" s="4" t="s">
        <v>29</v>
      </c>
      <c r="C13" s="4" t="s">
        <v>30</v>
      </c>
      <c r="D13" s="5">
        <v>46037.0</v>
      </c>
      <c r="E13" s="3" t="str">
        <f t="shared" si="1"/>
        <v>Thursday</v>
      </c>
      <c r="F13" s="4" t="str">
        <f t="shared" si="2"/>
        <v>January</v>
      </c>
      <c r="G13" s="3">
        <v>2026.0</v>
      </c>
    </row>
    <row r="14" ht="15.75" customHeight="1">
      <c r="A14" s="3">
        <v>4.9382841E7</v>
      </c>
      <c r="B14" s="4" t="s">
        <v>31</v>
      </c>
      <c r="C14" s="4" t="s">
        <v>32</v>
      </c>
      <c r="D14" s="5">
        <v>46054.0</v>
      </c>
      <c r="E14" s="3" t="str">
        <f t="shared" si="1"/>
        <v>Sunday</v>
      </c>
      <c r="F14" s="4" t="str">
        <f t="shared" si="2"/>
        <v>February</v>
      </c>
      <c r="G14" s="3">
        <v>2026.0</v>
      </c>
    </row>
    <row r="15" ht="15.75" customHeight="1">
      <c r="A15" s="3">
        <v>4.9512914E7</v>
      </c>
      <c r="B15" s="4" t="s">
        <v>33</v>
      </c>
      <c r="C15" s="4" t="s">
        <v>34</v>
      </c>
      <c r="D15" s="5">
        <v>46057.0</v>
      </c>
      <c r="E15" s="3" t="str">
        <f t="shared" si="1"/>
        <v>Wednesday</v>
      </c>
      <c r="F15" s="4" t="str">
        <f t="shared" si="2"/>
        <v>February</v>
      </c>
      <c r="G15" s="3">
        <v>2026.0</v>
      </c>
    </row>
    <row r="16" ht="15.75" customHeight="1">
      <c r="A16" s="3">
        <v>4.9724557E7</v>
      </c>
      <c r="B16" s="4" t="s">
        <v>35</v>
      </c>
      <c r="C16" s="4" t="s">
        <v>36</v>
      </c>
      <c r="D16" s="5">
        <v>46062.0</v>
      </c>
      <c r="E16" s="3" t="str">
        <f t="shared" si="1"/>
        <v>Monday</v>
      </c>
      <c r="F16" s="4" t="str">
        <f t="shared" si="2"/>
        <v>February</v>
      </c>
      <c r="G16" s="3">
        <v>2026.0</v>
      </c>
    </row>
    <row r="17" ht="15.75" customHeight="1">
      <c r="A17" s="3">
        <v>4.9724499E7</v>
      </c>
      <c r="B17" s="4" t="s">
        <v>37</v>
      </c>
      <c r="C17" s="4" t="s">
        <v>38</v>
      </c>
      <c r="D17" s="5">
        <v>46050.0</v>
      </c>
      <c r="E17" s="3" t="str">
        <f t="shared" si="1"/>
        <v>Wednesday</v>
      </c>
      <c r="F17" s="4" t="str">
        <f t="shared" si="2"/>
        <v>January</v>
      </c>
      <c r="G17" s="3">
        <v>2026.0</v>
      </c>
    </row>
    <row r="18" ht="15.75" customHeight="1">
      <c r="A18" s="3">
        <v>4.9303987E7</v>
      </c>
      <c r="B18" s="4" t="s">
        <v>39</v>
      </c>
      <c r="C18" s="4" t="s">
        <v>40</v>
      </c>
      <c r="D18" s="5">
        <v>46054.0</v>
      </c>
      <c r="E18" s="3" t="str">
        <f t="shared" si="1"/>
        <v>Sunday</v>
      </c>
      <c r="F18" s="4" t="str">
        <f t="shared" si="2"/>
        <v>February</v>
      </c>
      <c r="G18" s="3">
        <v>2026.0</v>
      </c>
    </row>
    <row r="19" ht="15.75" customHeight="1">
      <c r="A19" s="3">
        <v>4.9724521E7</v>
      </c>
      <c r="B19" s="4" t="s">
        <v>39</v>
      </c>
      <c r="C19" s="4" t="s">
        <v>40</v>
      </c>
      <c r="D19" s="5">
        <v>46057.0</v>
      </c>
      <c r="E19" s="3" t="str">
        <f t="shared" si="1"/>
        <v>Wednesday</v>
      </c>
      <c r="F19" s="4" t="str">
        <f t="shared" si="2"/>
        <v>February</v>
      </c>
      <c r="G19" s="3">
        <v>2026.0</v>
      </c>
    </row>
    <row r="20" ht="15.75" customHeight="1">
      <c r="A20" s="3">
        <v>4.8660706E7</v>
      </c>
      <c r="B20" s="4" t="s">
        <v>41</v>
      </c>
      <c r="C20" s="4" t="s">
        <v>42</v>
      </c>
      <c r="D20" s="5">
        <v>46037.0</v>
      </c>
      <c r="E20" s="3" t="str">
        <f t="shared" si="1"/>
        <v>Thursday</v>
      </c>
      <c r="F20" s="4" t="str">
        <f t="shared" si="2"/>
        <v>January</v>
      </c>
      <c r="G20" s="3">
        <v>2026.0</v>
      </c>
    </row>
    <row r="21" ht="15.75" customHeight="1">
      <c r="A21" s="3">
        <v>4.9245976E7</v>
      </c>
      <c r="B21" s="4" t="s">
        <v>43</v>
      </c>
      <c r="C21" s="4" t="s">
        <v>44</v>
      </c>
      <c r="D21" s="5">
        <v>46052.0</v>
      </c>
      <c r="E21" s="3" t="str">
        <f t="shared" si="1"/>
        <v>Friday</v>
      </c>
      <c r="F21" s="4" t="str">
        <f t="shared" si="2"/>
        <v>January</v>
      </c>
      <c r="G21" s="3">
        <v>2026.0</v>
      </c>
    </row>
    <row r="22" ht="15.75" customHeight="1">
      <c r="A22" s="3">
        <v>4.843598E7</v>
      </c>
      <c r="B22" s="4" t="s">
        <v>45</v>
      </c>
      <c r="C22" s="4" t="s">
        <v>46</v>
      </c>
      <c r="D22" s="5">
        <v>46025.0</v>
      </c>
      <c r="E22" s="3" t="str">
        <f t="shared" si="1"/>
        <v>Saturday</v>
      </c>
      <c r="F22" s="4" t="str">
        <f t="shared" si="2"/>
        <v>January</v>
      </c>
      <c r="G22" s="3">
        <v>2026.0</v>
      </c>
    </row>
    <row r="23" ht="15.75" customHeight="1">
      <c r="A23" s="3">
        <v>4.860113E7</v>
      </c>
      <c r="B23" s="4" t="s">
        <v>47</v>
      </c>
      <c r="C23" s="4" t="s">
        <v>48</v>
      </c>
      <c r="D23" s="5">
        <v>46030.0</v>
      </c>
      <c r="E23" s="3" t="str">
        <f t="shared" si="1"/>
        <v>Thursday</v>
      </c>
      <c r="F23" s="4" t="str">
        <f t="shared" si="2"/>
        <v>January</v>
      </c>
      <c r="G23" s="3">
        <v>2026.0</v>
      </c>
    </row>
    <row r="24" ht="15.75" customHeight="1">
      <c r="A24" s="3">
        <v>4.9304151E7</v>
      </c>
      <c r="B24" s="4" t="s">
        <v>49</v>
      </c>
      <c r="C24" s="4" t="s">
        <v>50</v>
      </c>
      <c r="D24" s="5">
        <v>46054.0</v>
      </c>
      <c r="E24" s="3" t="str">
        <f t="shared" si="1"/>
        <v>Sunday</v>
      </c>
      <c r="F24" s="4" t="str">
        <f t="shared" si="2"/>
        <v>February</v>
      </c>
      <c r="G24" s="3">
        <v>2026.0</v>
      </c>
    </row>
    <row r="25" ht="15.75" customHeight="1">
      <c r="A25" s="3">
        <v>4.930514E7</v>
      </c>
      <c r="B25" s="4" t="s">
        <v>51</v>
      </c>
      <c r="C25" s="4" t="s">
        <v>52</v>
      </c>
      <c r="D25" s="5">
        <v>46053.0</v>
      </c>
      <c r="E25" s="3" t="str">
        <f t="shared" si="1"/>
        <v>Saturday</v>
      </c>
      <c r="F25" s="4" t="str">
        <f t="shared" si="2"/>
        <v>January</v>
      </c>
      <c r="G25" s="3">
        <v>2026.0</v>
      </c>
    </row>
    <row r="26" ht="15.75" customHeight="1">
      <c r="A26" s="3">
        <v>4.9962486E7</v>
      </c>
      <c r="B26" s="4" t="s">
        <v>39</v>
      </c>
      <c r="C26" s="4" t="s">
        <v>40</v>
      </c>
      <c r="D26" s="5">
        <v>46065.0</v>
      </c>
      <c r="E26" s="3" t="str">
        <f t="shared" si="1"/>
        <v>Thursday</v>
      </c>
      <c r="F26" s="4" t="str">
        <f t="shared" si="2"/>
        <v>February</v>
      </c>
      <c r="G26" s="3">
        <v>2026.0</v>
      </c>
    </row>
    <row r="27" ht="15.75" customHeight="1">
      <c r="A27" s="3">
        <v>4.8601125E7</v>
      </c>
      <c r="B27" s="4" t="s">
        <v>53</v>
      </c>
      <c r="C27" s="4" t="s">
        <v>54</v>
      </c>
      <c r="D27" s="5">
        <v>46030.0</v>
      </c>
      <c r="E27" s="3" t="str">
        <f t="shared" si="1"/>
        <v>Thursday</v>
      </c>
      <c r="F27" s="4" t="str">
        <f t="shared" si="2"/>
        <v>January</v>
      </c>
      <c r="G27" s="3">
        <v>2026.0</v>
      </c>
    </row>
    <row r="28" ht="15.75" customHeight="1">
      <c r="A28" s="3">
        <v>4.938284E7</v>
      </c>
      <c r="B28" s="4" t="s">
        <v>39</v>
      </c>
      <c r="C28" s="4" t="s">
        <v>40</v>
      </c>
      <c r="D28" s="5">
        <v>46054.0</v>
      </c>
      <c r="E28" s="3" t="str">
        <f t="shared" si="1"/>
        <v>Sunday</v>
      </c>
      <c r="F28" s="4" t="str">
        <f t="shared" si="2"/>
        <v>February</v>
      </c>
      <c r="G28" s="3">
        <v>2026.0</v>
      </c>
    </row>
    <row r="29" ht="15.75" customHeight="1">
      <c r="A29" s="3">
        <v>5.0031442E7</v>
      </c>
      <c r="B29" s="4" t="s">
        <v>13</v>
      </c>
      <c r="C29" s="4" t="s">
        <v>14</v>
      </c>
      <c r="D29" s="5">
        <v>46067.0</v>
      </c>
      <c r="E29" s="3" t="str">
        <f t="shared" si="1"/>
        <v>Saturday</v>
      </c>
      <c r="F29" s="4" t="str">
        <f t="shared" si="2"/>
        <v>February</v>
      </c>
      <c r="G29" s="3">
        <v>2026.0</v>
      </c>
    </row>
    <row r="30" ht="15.75" customHeight="1">
      <c r="A30" s="3">
        <v>4.8712588E7</v>
      </c>
      <c r="B30" s="4" t="s">
        <v>9</v>
      </c>
      <c r="C30" s="4" t="s">
        <v>10</v>
      </c>
      <c r="D30" s="5">
        <v>46041.0</v>
      </c>
      <c r="E30" s="3" t="str">
        <f t="shared" si="1"/>
        <v>Monday</v>
      </c>
      <c r="F30" s="4" t="str">
        <f t="shared" si="2"/>
        <v>January</v>
      </c>
      <c r="G30" s="3">
        <v>2026.0</v>
      </c>
    </row>
    <row r="31" ht="15.75" customHeight="1">
      <c r="A31" s="3">
        <v>4.9298829E7</v>
      </c>
      <c r="B31" s="4" t="s">
        <v>7</v>
      </c>
      <c r="C31" s="4" t="s">
        <v>8</v>
      </c>
      <c r="D31" s="5">
        <v>46053.0</v>
      </c>
      <c r="E31" s="3" t="str">
        <f t="shared" si="1"/>
        <v>Saturday</v>
      </c>
      <c r="F31" s="4" t="str">
        <f t="shared" si="2"/>
        <v>January</v>
      </c>
      <c r="G31" s="3">
        <v>2026.0</v>
      </c>
    </row>
    <row r="32" ht="15.75" customHeight="1">
      <c r="A32" s="3">
        <v>4.9961941E7</v>
      </c>
      <c r="B32" s="4" t="s">
        <v>43</v>
      </c>
      <c r="C32" s="4" t="s">
        <v>44</v>
      </c>
      <c r="D32" s="5">
        <v>46065.0</v>
      </c>
      <c r="E32" s="3" t="str">
        <f t="shared" si="1"/>
        <v>Thursday</v>
      </c>
      <c r="F32" s="4" t="str">
        <f t="shared" si="2"/>
        <v>February</v>
      </c>
      <c r="G32" s="3">
        <v>2026.0</v>
      </c>
    </row>
    <row r="33" ht="15.75" customHeight="1">
      <c r="A33" s="3">
        <v>5.003231E7</v>
      </c>
      <c r="B33" s="4" t="s">
        <v>17</v>
      </c>
      <c r="C33" s="4" t="s">
        <v>18</v>
      </c>
      <c r="D33" s="5">
        <v>46068.0</v>
      </c>
      <c r="E33" s="3" t="str">
        <f t="shared" si="1"/>
        <v>Sunday</v>
      </c>
      <c r="F33" s="4" t="str">
        <f t="shared" si="2"/>
        <v>February</v>
      </c>
      <c r="G33" s="3">
        <v>2026.0</v>
      </c>
    </row>
    <row r="34" ht="15.75" customHeight="1">
      <c r="A34" s="3">
        <v>4.8654956E7</v>
      </c>
      <c r="B34" s="4" t="s">
        <v>55</v>
      </c>
      <c r="C34" s="4" t="s">
        <v>56</v>
      </c>
      <c r="D34" s="5">
        <v>46032.0</v>
      </c>
      <c r="E34" s="3" t="str">
        <f t="shared" si="1"/>
        <v>Saturday</v>
      </c>
      <c r="F34" s="4" t="str">
        <f t="shared" si="2"/>
        <v>January</v>
      </c>
      <c r="G34" s="3">
        <v>2026.0</v>
      </c>
    </row>
    <row r="35" ht="15.75" customHeight="1">
      <c r="A35" s="3">
        <v>4.8995014E7</v>
      </c>
      <c r="B35" s="4" t="s">
        <v>21</v>
      </c>
      <c r="C35" s="4" t="s">
        <v>22</v>
      </c>
      <c r="D35" s="5">
        <v>46045.0</v>
      </c>
      <c r="E35" s="3" t="str">
        <f t="shared" si="1"/>
        <v>Friday</v>
      </c>
      <c r="F35" s="4" t="str">
        <f t="shared" si="2"/>
        <v>January</v>
      </c>
      <c r="G35" s="3">
        <v>2026.0</v>
      </c>
    </row>
    <row r="36" ht="15.75" customHeight="1">
      <c r="A36" s="3">
        <v>4.9888485E7</v>
      </c>
      <c r="B36" s="4" t="s">
        <v>9</v>
      </c>
      <c r="C36" s="4" t="s">
        <v>10</v>
      </c>
      <c r="D36" s="5">
        <v>46064.0</v>
      </c>
      <c r="E36" s="3" t="str">
        <f t="shared" si="1"/>
        <v>Wednesday</v>
      </c>
      <c r="F36" s="4" t="str">
        <f t="shared" si="2"/>
        <v>February</v>
      </c>
      <c r="G36" s="3">
        <v>2026.0</v>
      </c>
    </row>
    <row r="37" ht="15.75" customHeight="1">
      <c r="A37" s="3">
        <v>4.9297869E7</v>
      </c>
      <c r="B37" s="4" t="s">
        <v>57</v>
      </c>
      <c r="C37" s="4" t="s">
        <v>58</v>
      </c>
      <c r="D37" s="5">
        <v>46053.0</v>
      </c>
      <c r="E37" s="3" t="str">
        <f t="shared" si="1"/>
        <v>Saturday</v>
      </c>
      <c r="F37" s="4" t="str">
        <f t="shared" si="2"/>
        <v>January</v>
      </c>
      <c r="G37" s="3">
        <v>2026.0</v>
      </c>
    </row>
    <row r="38" ht="15.75" customHeight="1">
      <c r="A38" s="3">
        <v>5.0031445E7</v>
      </c>
      <c r="B38" s="4" t="s">
        <v>59</v>
      </c>
      <c r="C38" s="4" t="s">
        <v>60</v>
      </c>
      <c r="D38" s="5">
        <v>46067.0</v>
      </c>
      <c r="E38" s="3" t="str">
        <f t="shared" si="1"/>
        <v>Saturday</v>
      </c>
      <c r="F38" s="4" t="str">
        <f t="shared" si="2"/>
        <v>February</v>
      </c>
      <c r="G38" s="3">
        <v>2026.0</v>
      </c>
    </row>
    <row r="39" ht="15.75" customHeight="1">
      <c r="A39" s="3">
        <v>5.0032446E7</v>
      </c>
      <c r="B39" s="4" t="s">
        <v>61</v>
      </c>
      <c r="C39" s="4" t="s">
        <v>62</v>
      </c>
      <c r="D39" s="5">
        <v>46068.0</v>
      </c>
      <c r="E39" s="3" t="str">
        <f t="shared" si="1"/>
        <v>Sunday</v>
      </c>
      <c r="F39" s="4" t="str">
        <f t="shared" si="2"/>
        <v>February</v>
      </c>
      <c r="G39" s="3">
        <v>2026.0</v>
      </c>
    </row>
    <row r="40" ht="15.75" customHeight="1">
      <c r="A40" s="3">
        <v>4.967166E7</v>
      </c>
      <c r="B40" s="4" t="s">
        <v>31</v>
      </c>
      <c r="C40" s="4" t="s">
        <v>32</v>
      </c>
      <c r="D40" s="5">
        <v>46062.0</v>
      </c>
      <c r="E40" s="3" t="str">
        <f t="shared" si="1"/>
        <v>Monday</v>
      </c>
      <c r="F40" s="4" t="str">
        <f t="shared" si="2"/>
        <v>February</v>
      </c>
      <c r="G40" s="3">
        <v>2026.0</v>
      </c>
    </row>
    <row r="41" ht="15.75" customHeight="1">
      <c r="A41" s="3">
        <v>4.8431505E7</v>
      </c>
      <c r="B41" s="4" t="s">
        <v>55</v>
      </c>
      <c r="C41" s="4" t="s">
        <v>56</v>
      </c>
      <c r="D41" s="5">
        <v>46023.0</v>
      </c>
      <c r="E41" s="3" t="str">
        <f t="shared" si="1"/>
        <v>Thursday</v>
      </c>
      <c r="F41" s="4" t="str">
        <f t="shared" si="2"/>
        <v>January</v>
      </c>
      <c r="G41" s="3">
        <v>2026.0</v>
      </c>
    </row>
    <row r="42" ht="15.75" customHeight="1">
      <c r="A42" s="3">
        <v>4.9298509E7</v>
      </c>
      <c r="B42" s="4" t="s">
        <v>21</v>
      </c>
      <c r="C42" s="4" t="s">
        <v>22</v>
      </c>
      <c r="D42" s="5">
        <v>46053.0</v>
      </c>
      <c r="E42" s="3" t="str">
        <f t="shared" si="1"/>
        <v>Saturday</v>
      </c>
      <c r="F42" s="4" t="str">
        <f t="shared" si="2"/>
        <v>January</v>
      </c>
      <c r="G42" s="3">
        <v>2026.0</v>
      </c>
    </row>
    <row r="43" ht="15.75" customHeight="1">
      <c r="A43" s="3">
        <v>4.9512699E7</v>
      </c>
      <c r="B43" s="4" t="s">
        <v>63</v>
      </c>
      <c r="C43" s="4" t="s">
        <v>64</v>
      </c>
      <c r="D43" s="5">
        <v>46057.0</v>
      </c>
      <c r="E43" s="3" t="str">
        <f t="shared" si="1"/>
        <v>Wednesday</v>
      </c>
      <c r="F43" s="4" t="str">
        <f t="shared" si="2"/>
        <v>February</v>
      </c>
      <c r="G43" s="3">
        <v>2026.0</v>
      </c>
    </row>
    <row r="44" ht="15.75" customHeight="1">
      <c r="A44" s="3">
        <v>4.9301458E7</v>
      </c>
      <c r="B44" s="4" t="s">
        <v>65</v>
      </c>
      <c r="C44" s="4" t="s">
        <v>66</v>
      </c>
      <c r="D44" s="5">
        <v>46053.0</v>
      </c>
      <c r="E44" s="3" t="str">
        <f t="shared" si="1"/>
        <v>Saturday</v>
      </c>
      <c r="F44" s="4" t="str">
        <f t="shared" si="2"/>
        <v>January</v>
      </c>
      <c r="G44" s="3">
        <v>2026.0</v>
      </c>
    </row>
    <row r="45" ht="15.75" customHeight="1">
      <c r="A45" s="3">
        <v>4.9622604E7</v>
      </c>
      <c r="B45" s="4" t="s">
        <v>59</v>
      </c>
      <c r="C45" s="4" t="s">
        <v>60</v>
      </c>
      <c r="D45" s="5">
        <v>46053.0</v>
      </c>
      <c r="E45" s="3" t="str">
        <f t="shared" si="1"/>
        <v>Saturday</v>
      </c>
      <c r="F45" s="4" t="str">
        <f t="shared" si="2"/>
        <v>January</v>
      </c>
      <c r="G45" s="3">
        <v>2026.0</v>
      </c>
    </row>
    <row r="46" ht="15.75" customHeight="1">
      <c r="A46" s="3">
        <v>4.8741153E7</v>
      </c>
      <c r="B46" s="4" t="s">
        <v>67</v>
      </c>
      <c r="C46" s="4" t="s">
        <v>68</v>
      </c>
      <c r="D46" s="5">
        <v>46044.0</v>
      </c>
      <c r="E46" s="3" t="str">
        <f t="shared" si="1"/>
        <v>Thursday</v>
      </c>
      <c r="F46" s="4" t="str">
        <f t="shared" si="2"/>
        <v>January</v>
      </c>
      <c r="G46" s="3">
        <v>2026.0</v>
      </c>
    </row>
    <row r="47" ht="15.75" customHeight="1">
      <c r="A47" s="3">
        <v>4.9962482E7</v>
      </c>
      <c r="B47" s="4" t="s">
        <v>21</v>
      </c>
      <c r="C47" s="4" t="s">
        <v>22</v>
      </c>
      <c r="D47" s="5">
        <v>46065.0</v>
      </c>
      <c r="E47" s="3" t="str">
        <f t="shared" si="1"/>
        <v>Thursday</v>
      </c>
      <c r="F47" s="4" t="str">
        <f t="shared" si="2"/>
        <v>February</v>
      </c>
      <c r="G47" s="3">
        <v>2026.0</v>
      </c>
    </row>
    <row r="48" ht="15.75" customHeight="1">
      <c r="A48" s="3">
        <v>5.0192006E7</v>
      </c>
      <c r="B48" s="4" t="s">
        <v>59</v>
      </c>
      <c r="C48" s="4" t="s">
        <v>60</v>
      </c>
      <c r="D48" s="5">
        <v>46073.0</v>
      </c>
      <c r="E48" s="3" t="str">
        <f t="shared" si="1"/>
        <v>Friday</v>
      </c>
      <c r="F48" s="4" t="str">
        <f t="shared" si="2"/>
        <v>February</v>
      </c>
      <c r="G48" s="3">
        <v>2026.0</v>
      </c>
    </row>
    <row r="49" ht="15.75" customHeight="1">
      <c r="A49" s="3">
        <v>4.8653539E7</v>
      </c>
      <c r="B49" s="4" t="s">
        <v>69</v>
      </c>
      <c r="C49" s="4" t="s">
        <v>70</v>
      </c>
      <c r="D49" s="5">
        <v>46036.0</v>
      </c>
      <c r="E49" s="3" t="str">
        <f t="shared" si="1"/>
        <v>Wednesday</v>
      </c>
      <c r="F49" s="4" t="str">
        <f t="shared" si="2"/>
        <v>January</v>
      </c>
      <c r="G49" s="3">
        <v>2026.0</v>
      </c>
    </row>
    <row r="50" ht="15.75" customHeight="1">
      <c r="A50" s="3">
        <v>4.8660707E7</v>
      </c>
      <c r="B50" s="4" t="s">
        <v>71</v>
      </c>
      <c r="C50" s="4" t="s">
        <v>72</v>
      </c>
      <c r="D50" s="5">
        <v>46037.0</v>
      </c>
      <c r="E50" s="3" t="str">
        <f t="shared" si="1"/>
        <v>Thursday</v>
      </c>
      <c r="F50" s="4" t="str">
        <f t="shared" si="2"/>
        <v>January</v>
      </c>
      <c r="G50" s="3">
        <v>2026.0</v>
      </c>
    </row>
    <row r="51" ht="15.75" customHeight="1">
      <c r="A51" s="3">
        <v>4.9620068E7</v>
      </c>
      <c r="B51" s="4" t="s">
        <v>73</v>
      </c>
      <c r="C51" s="4" t="s">
        <v>74</v>
      </c>
      <c r="D51" s="5">
        <v>46059.0</v>
      </c>
      <c r="E51" s="3" t="str">
        <f t="shared" si="1"/>
        <v>Friday</v>
      </c>
      <c r="F51" s="4" t="str">
        <f t="shared" si="2"/>
        <v>February</v>
      </c>
      <c r="G51" s="3">
        <v>2026.0</v>
      </c>
    </row>
    <row r="52" ht="15.75" customHeight="1">
      <c r="A52" s="3">
        <v>4.9620071E7</v>
      </c>
      <c r="B52" s="4" t="s">
        <v>37</v>
      </c>
      <c r="C52" s="4" t="s">
        <v>38</v>
      </c>
      <c r="D52" s="5">
        <v>46059.0</v>
      </c>
      <c r="E52" s="3" t="str">
        <f t="shared" si="1"/>
        <v>Friday</v>
      </c>
      <c r="F52" s="4" t="str">
        <f t="shared" si="2"/>
        <v>February</v>
      </c>
      <c r="G52" s="3">
        <v>2026.0</v>
      </c>
    </row>
    <row r="53" ht="15.75" customHeight="1">
      <c r="A53" s="3">
        <v>4.9620081E7</v>
      </c>
      <c r="B53" s="4" t="s">
        <v>75</v>
      </c>
      <c r="C53" s="4" t="s">
        <v>76</v>
      </c>
      <c r="D53" s="5">
        <v>46059.0</v>
      </c>
      <c r="E53" s="3" t="str">
        <f t="shared" si="1"/>
        <v>Friday</v>
      </c>
      <c r="F53" s="4" t="str">
        <f t="shared" si="2"/>
        <v>February</v>
      </c>
      <c r="G53" s="3">
        <v>2026.0</v>
      </c>
    </row>
    <row r="54" ht="15.75" customHeight="1">
      <c r="A54" s="3">
        <v>4.9512902E7</v>
      </c>
      <c r="B54" s="4" t="s">
        <v>67</v>
      </c>
      <c r="C54" s="4" t="s">
        <v>68</v>
      </c>
      <c r="D54" s="5">
        <v>46057.0</v>
      </c>
      <c r="E54" s="3" t="str">
        <f t="shared" si="1"/>
        <v>Wednesday</v>
      </c>
      <c r="F54" s="4" t="str">
        <f t="shared" si="2"/>
        <v>February</v>
      </c>
      <c r="G54" s="3">
        <v>2026.0</v>
      </c>
    </row>
    <row r="55" ht="15.75" customHeight="1">
      <c r="A55" s="3">
        <v>4.8617328E7</v>
      </c>
      <c r="B55" s="4" t="s">
        <v>17</v>
      </c>
      <c r="C55" s="4" t="s">
        <v>18</v>
      </c>
      <c r="D55" s="5">
        <v>46032.0</v>
      </c>
      <c r="E55" s="3" t="str">
        <f t="shared" si="1"/>
        <v>Saturday</v>
      </c>
      <c r="F55" s="4" t="str">
        <f t="shared" si="2"/>
        <v>January</v>
      </c>
      <c r="G55" s="3">
        <v>2026.0</v>
      </c>
    </row>
    <row r="56" ht="15.75" customHeight="1">
      <c r="A56" s="3">
        <v>4.9886861E7</v>
      </c>
      <c r="B56" s="4" t="s">
        <v>77</v>
      </c>
      <c r="C56" s="4" t="s">
        <v>78</v>
      </c>
      <c r="D56" s="5">
        <v>46038.0</v>
      </c>
      <c r="E56" s="3" t="str">
        <f t="shared" si="1"/>
        <v>Friday</v>
      </c>
      <c r="F56" s="4" t="str">
        <f t="shared" si="2"/>
        <v>January</v>
      </c>
      <c r="G56" s="3">
        <v>2026.0</v>
      </c>
    </row>
    <row r="57" ht="15.75" customHeight="1">
      <c r="A57" s="3">
        <v>4.9304206E7</v>
      </c>
      <c r="B57" s="4" t="s">
        <v>27</v>
      </c>
      <c r="C57" s="4" t="s">
        <v>28</v>
      </c>
      <c r="D57" s="5">
        <v>46054.0</v>
      </c>
      <c r="E57" s="3" t="str">
        <f t="shared" si="1"/>
        <v>Sunday</v>
      </c>
      <c r="F57" s="4" t="str">
        <f t="shared" si="2"/>
        <v>February</v>
      </c>
      <c r="G57" s="3">
        <v>2026.0</v>
      </c>
    </row>
    <row r="58" ht="15.75" customHeight="1">
      <c r="A58" s="3">
        <v>4.8605645E7</v>
      </c>
      <c r="B58" s="4" t="s">
        <v>59</v>
      </c>
      <c r="C58" s="4" t="s">
        <v>60</v>
      </c>
      <c r="D58" s="5">
        <v>46031.0</v>
      </c>
      <c r="E58" s="3" t="str">
        <f t="shared" si="1"/>
        <v>Friday</v>
      </c>
      <c r="F58" s="4" t="str">
        <f t="shared" si="2"/>
        <v>January</v>
      </c>
      <c r="G58" s="3">
        <v>2026.0</v>
      </c>
    </row>
    <row r="59" ht="15.75" customHeight="1">
      <c r="A59" s="3">
        <v>4.8667259E7</v>
      </c>
      <c r="B59" s="4" t="s">
        <v>79</v>
      </c>
      <c r="C59" s="4" t="s">
        <v>80</v>
      </c>
      <c r="D59" s="5">
        <v>46036.0</v>
      </c>
      <c r="E59" s="3" t="str">
        <f t="shared" si="1"/>
        <v>Wednesday</v>
      </c>
      <c r="F59" s="4" t="str">
        <f t="shared" si="2"/>
        <v>January</v>
      </c>
      <c r="G59" s="3">
        <v>2026.0</v>
      </c>
    </row>
    <row r="60" ht="15.75" customHeight="1">
      <c r="A60" s="3">
        <v>4.9603675E7</v>
      </c>
      <c r="B60" s="4" t="s">
        <v>81</v>
      </c>
      <c r="C60" s="4" t="s">
        <v>82</v>
      </c>
      <c r="D60" s="5">
        <v>46059.0</v>
      </c>
      <c r="E60" s="3" t="str">
        <f t="shared" si="1"/>
        <v>Friday</v>
      </c>
      <c r="F60" s="4" t="str">
        <f t="shared" si="2"/>
        <v>February</v>
      </c>
      <c r="G60" s="3">
        <v>2026.0</v>
      </c>
    </row>
    <row r="61" ht="15.75" customHeight="1">
      <c r="A61" s="3">
        <v>4.8741205E7</v>
      </c>
      <c r="B61" s="4" t="s">
        <v>83</v>
      </c>
      <c r="C61" s="4" t="s">
        <v>84</v>
      </c>
      <c r="D61" s="5">
        <v>46044.0</v>
      </c>
      <c r="E61" s="3" t="str">
        <f t="shared" si="1"/>
        <v>Thursday</v>
      </c>
      <c r="F61" s="4" t="str">
        <f t="shared" si="2"/>
        <v>January</v>
      </c>
      <c r="G61" s="3">
        <v>2026.0</v>
      </c>
    </row>
    <row r="62" ht="15.75" customHeight="1">
      <c r="A62" s="3">
        <v>4.9671662E7</v>
      </c>
      <c r="B62" s="4" t="s">
        <v>9</v>
      </c>
      <c r="C62" s="4" t="s">
        <v>10</v>
      </c>
      <c r="D62" s="5">
        <v>46062.0</v>
      </c>
      <c r="E62" s="3" t="str">
        <f t="shared" si="1"/>
        <v>Monday</v>
      </c>
      <c r="F62" s="4" t="str">
        <f t="shared" si="2"/>
        <v>February</v>
      </c>
      <c r="G62" s="3">
        <v>2026.0</v>
      </c>
    </row>
    <row r="63" ht="15.75" customHeight="1">
      <c r="A63" s="3">
        <v>4.8912687E7</v>
      </c>
      <c r="B63" s="4" t="s">
        <v>31</v>
      </c>
      <c r="C63" s="4" t="s">
        <v>32</v>
      </c>
      <c r="D63" s="5">
        <v>46048.0</v>
      </c>
      <c r="E63" s="3" t="str">
        <f t="shared" si="1"/>
        <v>Monday</v>
      </c>
      <c r="F63" s="4" t="str">
        <f t="shared" si="2"/>
        <v>January</v>
      </c>
      <c r="G63" s="3">
        <v>2026.0</v>
      </c>
    </row>
    <row r="64" ht="15.75" customHeight="1">
      <c r="A64" s="3">
        <v>4.9303284E7</v>
      </c>
      <c r="B64" s="4" t="s">
        <v>85</v>
      </c>
      <c r="C64" s="4" t="s">
        <v>86</v>
      </c>
      <c r="D64" s="5">
        <v>46053.0</v>
      </c>
      <c r="E64" s="3" t="str">
        <f t="shared" si="1"/>
        <v>Saturday</v>
      </c>
      <c r="F64" s="4" t="str">
        <f t="shared" si="2"/>
        <v>January</v>
      </c>
      <c r="G64" s="3">
        <v>2026.0</v>
      </c>
    </row>
    <row r="65" ht="15.75" customHeight="1">
      <c r="A65" s="3">
        <v>5.0026524E7</v>
      </c>
      <c r="B65" s="4" t="s">
        <v>87</v>
      </c>
      <c r="C65" s="4" t="s">
        <v>88</v>
      </c>
      <c r="D65" s="5">
        <v>46066.0</v>
      </c>
      <c r="E65" s="3" t="str">
        <f t="shared" si="1"/>
        <v>Friday</v>
      </c>
      <c r="F65" s="4" t="str">
        <f t="shared" si="2"/>
        <v>February</v>
      </c>
      <c r="G65" s="3">
        <v>2026.0</v>
      </c>
    </row>
    <row r="66" ht="15.75" customHeight="1">
      <c r="A66" s="3">
        <v>4.8662108E7</v>
      </c>
      <c r="B66" s="4" t="s">
        <v>75</v>
      </c>
      <c r="C66" s="4" t="s">
        <v>76</v>
      </c>
      <c r="D66" s="5">
        <v>46037.0</v>
      </c>
      <c r="E66" s="3" t="str">
        <f t="shared" si="1"/>
        <v>Thursday</v>
      </c>
      <c r="F66" s="4" t="str">
        <f t="shared" si="2"/>
        <v>January</v>
      </c>
      <c r="G66" s="3">
        <v>2026.0</v>
      </c>
    </row>
    <row r="67" ht="15.75" customHeight="1">
      <c r="A67" s="3">
        <v>4.9304148E7</v>
      </c>
      <c r="B67" s="4" t="s">
        <v>89</v>
      </c>
      <c r="C67" s="4" t="s">
        <v>90</v>
      </c>
      <c r="D67" s="5">
        <v>46054.0</v>
      </c>
      <c r="E67" s="3" t="str">
        <f t="shared" si="1"/>
        <v>Sunday</v>
      </c>
      <c r="F67" s="4" t="str">
        <f t="shared" si="2"/>
        <v>February</v>
      </c>
      <c r="G67" s="3">
        <v>2026.0</v>
      </c>
    </row>
    <row r="68" ht="15.75" customHeight="1">
      <c r="A68" s="3">
        <v>4.9888479E7</v>
      </c>
      <c r="B68" s="4" t="s">
        <v>7</v>
      </c>
      <c r="C68" s="4" t="s">
        <v>8</v>
      </c>
      <c r="D68" s="5">
        <v>46063.0</v>
      </c>
      <c r="E68" s="3" t="str">
        <f t="shared" si="1"/>
        <v>Tuesday</v>
      </c>
      <c r="F68" s="4" t="str">
        <f t="shared" si="2"/>
        <v>February</v>
      </c>
      <c r="G68" s="3">
        <v>2026.0</v>
      </c>
    </row>
    <row r="69" ht="15.75" customHeight="1">
      <c r="A69" s="3">
        <v>5.0327853E7</v>
      </c>
      <c r="B69" s="4" t="s">
        <v>91</v>
      </c>
      <c r="D69" s="5">
        <v>46075.0</v>
      </c>
      <c r="E69" s="3" t="str">
        <f t="shared" si="1"/>
        <v>Sunday</v>
      </c>
      <c r="F69" s="4" t="str">
        <f t="shared" si="2"/>
        <v>February</v>
      </c>
      <c r="G69" s="3">
        <v>2026.0</v>
      </c>
    </row>
    <row r="70" ht="15.75" customHeight="1">
      <c r="A70" s="3">
        <v>4.9304155E7</v>
      </c>
      <c r="B70" s="4" t="s">
        <v>92</v>
      </c>
      <c r="C70" s="4" t="s">
        <v>93</v>
      </c>
      <c r="D70" s="5">
        <v>46054.0</v>
      </c>
      <c r="E70" s="3" t="str">
        <f t="shared" si="1"/>
        <v>Sunday</v>
      </c>
      <c r="F70" s="4" t="str">
        <f t="shared" si="2"/>
        <v>February</v>
      </c>
      <c r="G70" s="3">
        <v>2026.0</v>
      </c>
    </row>
    <row r="71" ht="15.75" customHeight="1">
      <c r="A71" s="3">
        <v>4.9387272E7</v>
      </c>
      <c r="B71" s="4" t="s">
        <v>94</v>
      </c>
      <c r="C71" s="4" t="s">
        <v>95</v>
      </c>
      <c r="D71" s="5">
        <v>46055.0</v>
      </c>
      <c r="E71" s="3" t="str">
        <f t="shared" si="1"/>
        <v>Monday</v>
      </c>
      <c r="F71" s="4" t="str">
        <f t="shared" si="2"/>
        <v>February</v>
      </c>
      <c r="G71" s="3">
        <v>2026.0</v>
      </c>
    </row>
    <row r="72" ht="15.75" customHeight="1">
      <c r="A72" s="3">
        <v>4.8665832E7</v>
      </c>
      <c r="B72" s="4" t="s">
        <v>7</v>
      </c>
      <c r="C72" s="4" t="s">
        <v>8</v>
      </c>
      <c r="D72" s="5">
        <v>46037.0</v>
      </c>
      <c r="E72" s="3" t="str">
        <f t="shared" si="1"/>
        <v>Thursday</v>
      </c>
      <c r="F72" s="4" t="str">
        <f t="shared" si="2"/>
        <v>January</v>
      </c>
      <c r="G72" s="3">
        <v>2026.0</v>
      </c>
    </row>
    <row r="73" ht="15.75" customHeight="1">
      <c r="A73" s="3">
        <v>5.0032262E7</v>
      </c>
      <c r="B73" s="4" t="s">
        <v>49</v>
      </c>
      <c r="C73" s="4" t="s">
        <v>50</v>
      </c>
      <c r="D73" s="5">
        <v>46068.0</v>
      </c>
      <c r="E73" s="3" t="str">
        <f t="shared" si="1"/>
        <v>Sunday</v>
      </c>
      <c r="F73" s="4" t="str">
        <f t="shared" si="2"/>
        <v>February</v>
      </c>
      <c r="G73" s="3">
        <v>2026.0</v>
      </c>
    </row>
    <row r="74" ht="15.75" customHeight="1">
      <c r="A74" s="3">
        <v>4.9323239E7</v>
      </c>
      <c r="B74" s="4" t="s">
        <v>29</v>
      </c>
      <c r="C74" s="4" t="s">
        <v>30</v>
      </c>
      <c r="D74" s="5">
        <v>46054.0</v>
      </c>
      <c r="E74" s="3" t="str">
        <f t="shared" si="1"/>
        <v>Sunday</v>
      </c>
      <c r="F74" s="4" t="str">
        <f t="shared" si="2"/>
        <v>February</v>
      </c>
      <c r="G74" s="3">
        <v>2026.0</v>
      </c>
    </row>
    <row r="75" ht="15.75" customHeight="1">
      <c r="A75" s="3">
        <v>4.9711744E7</v>
      </c>
      <c r="B75" s="4" t="s">
        <v>57</v>
      </c>
      <c r="C75" s="4" t="s">
        <v>58</v>
      </c>
      <c r="D75" s="5">
        <v>46061.0</v>
      </c>
      <c r="E75" s="3" t="str">
        <f t="shared" si="1"/>
        <v>Sunday</v>
      </c>
      <c r="F75" s="4" t="str">
        <f t="shared" si="2"/>
        <v>February</v>
      </c>
      <c r="G75" s="3">
        <v>2026.0</v>
      </c>
    </row>
    <row r="76" ht="15.75" customHeight="1">
      <c r="A76" s="3">
        <v>4.8683319E7</v>
      </c>
      <c r="B76" s="4" t="s">
        <v>27</v>
      </c>
      <c r="C76" s="4" t="s">
        <v>28</v>
      </c>
      <c r="D76" s="5">
        <v>46039.0</v>
      </c>
      <c r="E76" s="3" t="str">
        <f t="shared" si="1"/>
        <v>Saturday</v>
      </c>
      <c r="F76" s="4" t="str">
        <f t="shared" si="2"/>
        <v>January</v>
      </c>
      <c r="G76" s="3">
        <v>2026.0</v>
      </c>
    </row>
    <row r="77" ht="15.75" customHeight="1">
      <c r="A77" s="3">
        <v>4.8679893E7</v>
      </c>
      <c r="B77" s="4" t="s">
        <v>96</v>
      </c>
      <c r="C77" s="4" t="s">
        <v>97</v>
      </c>
      <c r="D77" s="5">
        <v>46037.0</v>
      </c>
      <c r="E77" s="3" t="str">
        <f t="shared" si="1"/>
        <v>Thursday</v>
      </c>
      <c r="F77" s="4" t="str">
        <f t="shared" si="2"/>
        <v>January</v>
      </c>
      <c r="G77" s="3">
        <v>2026.0</v>
      </c>
    </row>
    <row r="78" ht="15.75" customHeight="1">
      <c r="A78" s="3">
        <v>4.9888478E7</v>
      </c>
      <c r="B78" s="4" t="s">
        <v>39</v>
      </c>
      <c r="C78" s="4" t="s">
        <v>40</v>
      </c>
      <c r="D78" s="5">
        <v>46063.0</v>
      </c>
      <c r="E78" s="3" t="str">
        <f t="shared" si="1"/>
        <v>Tuesday</v>
      </c>
      <c r="F78" s="4" t="str">
        <f t="shared" si="2"/>
        <v>February</v>
      </c>
      <c r="G78" s="3">
        <v>2026.0</v>
      </c>
    </row>
    <row r="79" ht="15.75" customHeight="1">
      <c r="A79" s="3">
        <v>4.8654969E7</v>
      </c>
      <c r="B79" s="4" t="s">
        <v>55</v>
      </c>
      <c r="C79" s="4" t="s">
        <v>56</v>
      </c>
      <c r="D79" s="5">
        <v>46032.0</v>
      </c>
      <c r="E79" s="3" t="str">
        <f t="shared" si="1"/>
        <v>Saturday</v>
      </c>
      <c r="F79" s="4" t="str">
        <f t="shared" si="2"/>
        <v>January</v>
      </c>
      <c r="G79" s="3">
        <v>2026.0</v>
      </c>
    </row>
    <row r="80" ht="15.75" customHeight="1">
      <c r="A80" s="3">
        <v>4.8675008E7</v>
      </c>
      <c r="B80" s="4" t="s">
        <v>43</v>
      </c>
      <c r="C80" s="4" t="s">
        <v>44</v>
      </c>
      <c r="D80" s="5">
        <v>46038.0</v>
      </c>
      <c r="E80" s="3" t="str">
        <f t="shared" si="1"/>
        <v>Friday</v>
      </c>
      <c r="F80" s="4" t="str">
        <f t="shared" si="2"/>
        <v>January</v>
      </c>
      <c r="G80" s="3">
        <v>2026.0</v>
      </c>
    </row>
    <row r="81" ht="15.75" customHeight="1">
      <c r="A81" s="3">
        <v>4.9246326E7</v>
      </c>
      <c r="B81" s="4" t="s">
        <v>98</v>
      </c>
      <c r="C81" s="4" t="s">
        <v>99</v>
      </c>
      <c r="D81" s="5">
        <v>46052.0</v>
      </c>
      <c r="E81" s="3" t="str">
        <f t="shared" si="1"/>
        <v>Friday</v>
      </c>
      <c r="F81" s="4" t="str">
        <f t="shared" si="2"/>
        <v>January</v>
      </c>
      <c r="G81" s="3">
        <v>2026.0</v>
      </c>
    </row>
    <row r="82" ht="15.75" customHeight="1">
      <c r="A82" s="3">
        <v>4.929787E7</v>
      </c>
      <c r="B82" s="4" t="s">
        <v>100</v>
      </c>
      <c r="C82" s="4" t="s">
        <v>101</v>
      </c>
      <c r="D82" s="5">
        <v>46053.0</v>
      </c>
      <c r="E82" s="3" t="str">
        <f t="shared" si="1"/>
        <v>Saturday</v>
      </c>
      <c r="F82" s="4" t="str">
        <f t="shared" si="2"/>
        <v>January</v>
      </c>
      <c r="G82" s="3">
        <v>2026.0</v>
      </c>
    </row>
    <row r="83" ht="15.75" customHeight="1">
      <c r="A83" s="3">
        <v>4.9303289E7</v>
      </c>
      <c r="B83" s="4" t="s">
        <v>102</v>
      </c>
      <c r="C83" s="4" t="s">
        <v>103</v>
      </c>
      <c r="D83" s="5">
        <v>46053.0</v>
      </c>
      <c r="E83" s="3" t="str">
        <f t="shared" si="1"/>
        <v>Saturday</v>
      </c>
      <c r="F83" s="4" t="str">
        <f t="shared" si="2"/>
        <v>January</v>
      </c>
      <c r="G83" s="3">
        <v>2026.0</v>
      </c>
    </row>
    <row r="84" ht="15.75" customHeight="1">
      <c r="A84" s="3">
        <v>4.9724505E7</v>
      </c>
      <c r="B84" s="4" t="s">
        <v>31</v>
      </c>
      <c r="C84" s="4" t="s">
        <v>32</v>
      </c>
      <c r="D84" s="5">
        <v>46052.0</v>
      </c>
      <c r="E84" s="3" t="str">
        <f t="shared" si="1"/>
        <v>Friday</v>
      </c>
      <c r="F84" s="4" t="str">
        <f t="shared" si="2"/>
        <v>January</v>
      </c>
      <c r="G84" s="3">
        <v>2026.0</v>
      </c>
    </row>
    <row r="85" ht="15.75" customHeight="1">
      <c r="A85" s="3">
        <v>4.9298507E7</v>
      </c>
      <c r="B85" s="4" t="s">
        <v>73</v>
      </c>
      <c r="C85" s="4" t="s">
        <v>74</v>
      </c>
      <c r="D85" s="5">
        <v>46053.0</v>
      </c>
      <c r="E85" s="3" t="str">
        <f t="shared" si="1"/>
        <v>Saturday</v>
      </c>
      <c r="F85" s="4" t="str">
        <f t="shared" si="2"/>
        <v>January</v>
      </c>
      <c r="G85" s="3">
        <v>2026.0</v>
      </c>
    </row>
    <row r="86" ht="15.75" customHeight="1">
      <c r="A86" s="3">
        <v>4.8686668E7</v>
      </c>
      <c r="B86" s="4" t="s">
        <v>55</v>
      </c>
      <c r="C86" s="4" t="s">
        <v>56</v>
      </c>
      <c r="D86" s="5">
        <v>46038.0</v>
      </c>
      <c r="E86" s="3" t="str">
        <f t="shared" si="1"/>
        <v>Friday</v>
      </c>
      <c r="F86" s="4" t="str">
        <f t="shared" si="2"/>
        <v>January</v>
      </c>
      <c r="G86" s="3">
        <v>2026.0</v>
      </c>
    </row>
    <row r="87" ht="15.75" customHeight="1">
      <c r="A87" s="3">
        <v>4.868332E7</v>
      </c>
      <c r="B87" s="4" t="s">
        <v>17</v>
      </c>
      <c r="C87" s="4" t="s">
        <v>18</v>
      </c>
      <c r="D87" s="5">
        <v>46039.0</v>
      </c>
      <c r="E87" s="3" t="str">
        <f t="shared" si="1"/>
        <v>Saturday</v>
      </c>
      <c r="F87" s="4" t="str">
        <f t="shared" si="2"/>
        <v>January</v>
      </c>
      <c r="G87" s="3">
        <v>2026.0</v>
      </c>
    </row>
    <row r="88" ht="15.75" customHeight="1">
      <c r="A88" s="3">
        <v>4.8995016E7</v>
      </c>
      <c r="B88" s="4" t="s">
        <v>29</v>
      </c>
      <c r="C88" s="4" t="s">
        <v>30</v>
      </c>
      <c r="D88" s="5">
        <v>46045.0</v>
      </c>
      <c r="E88" s="3" t="str">
        <f t="shared" si="1"/>
        <v>Friday</v>
      </c>
      <c r="F88" s="4" t="str">
        <f t="shared" si="2"/>
        <v>January</v>
      </c>
      <c r="G88" s="3">
        <v>2026.0</v>
      </c>
    </row>
    <row r="89" ht="15.75" customHeight="1">
      <c r="A89" s="3">
        <v>4.9620069E7</v>
      </c>
      <c r="B89" s="4" t="s">
        <v>29</v>
      </c>
      <c r="C89" s="4" t="s">
        <v>30</v>
      </c>
      <c r="D89" s="5">
        <v>46059.0</v>
      </c>
      <c r="E89" s="3" t="str">
        <f t="shared" si="1"/>
        <v>Friday</v>
      </c>
      <c r="F89" s="4" t="str">
        <f t="shared" si="2"/>
        <v>February</v>
      </c>
      <c r="G89" s="3">
        <v>2026.0</v>
      </c>
    </row>
    <row r="90" ht="15.75" customHeight="1">
      <c r="A90" s="3">
        <v>4.843151E7</v>
      </c>
      <c r="B90" s="4" t="s">
        <v>55</v>
      </c>
      <c r="C90" s="4" t="s">
        <v>56</v>
      </c>
      <c r="D90" s="5">
        <v>46023.0</v>
      </c>
      <c r="E90" s="3" t="str">
        <f t="shared" si="1"/>
        <v>Thursday</v>
      </c>
      <c r="F90" s="4" t="str">
        <f t="shared" si="2"/>
        <v>January</v>
      </c>
      <c r="G90" s="3">
        <v>2026.0</v>
      </c>
    </row>
    <row r="91" ht="15.75" customHeight="1">
      <c r="A91" s="3">
        <v>4.9959887E7</v>
      </c>
      <c r="B91" s="4" t="s">
        <v>47</v>
      </c>
      <c r="C91" s="4" t="s">
        <v>48</v>
      </c>
      <c r="D91" s="5">
        <v>46065.0</v>
      </c>
      <c r="E91" s="3" t="str">
        <f t="shared" si="1"/>
        <v>Thursday</v>
      </c>
      <c r="F91" s="4" t="str">
        <f t="shared" si="2"/>
        <v>February</v>
      </c>
      <c r="G91" s="3">
        <v>2026.0</v>
      </c>
    </row>
    <row r="92" ht="15.75" customHeight="1">
      <c r="A92" s="3">
        <v>4.9724556E7</v>
      </c>
      <c r="B92" s="4" t="s">
        <v>21</v>
      </c>
      <c r="C92" s="4" t="s">
        <v>22</v>
      </c>
      <c r="D92" s="5">
        <v>46062.0</v>
      </c>
      <c r="E92" s="3" t="str">
        <f t="shared" si="1"/>
        <v>Monday</v>
      </c>
      <c r="F92" s="4" t="str">
        <f t="shared" si="2"/>
        <v>February</v>
      </c>
      <c r="G92" s="3">
        <v>2026.0</v>
      </c>
    </row>
    <row r="93" ht="15.75" customHeight="1">
      <c r="A93" s="3">
        <v>4.9517752E7</v>
      </c>
      <c r="B93" s="4" t="s">
        <v>35</v>
      </c>
      <c r="C93" s="4" t="s">
        <v>36</v>
      </c>
      <c r="D93" s="5">
        <v>46057.0</v>
      </c>
      <c r="E93" s="3" t="str">
        <f t="shared" si="1"/>
        <v>Wednesday</v>
      </c>
      <c r="F93" s="4" t="str">
        <f t="shared" si="2"/>
        <v>February</v>
      </c>
      <c r="G93" s="3">
        <v>2026.0</v>
      </c>
    </row>
    <row r="94" ht="15.75" customHeight="1">
      <c r="A94" s="3">
        <v>4.9774231E7</v>
      </c>
      <c r="B94" s="4" t="s">
        <v>104</v>
      </c>
      <c r="D94" s="5">
        <v>46061.0</v>
      </c>
      <c r="E94" s="3" t="str">
        <f t="shared" si="1"/>
        <v>Sunday</v>
      </c>
      <c r="F94" s="4" t="str">
        <f t="shared" si="2"/>
        <v>February</v>
      </c>
      <c r="G94" s="3">
        <v>2026.0</v>
      </c>
    </row>
    <row r="95" ht="15.75" customHeight="1">
      <c r="A95" s="3">
        <v>5.0032448E7</v>
      </c>
      <c r="B95" s="4" t="s">
        <v>89</v>
      </c>
      <c r="C95" s="4" t="s">
        <v>90</v>
      </c>
      <c r="D95" s="5">
        <v>46068.0</v>
      </c>
      <c r="E95" s="3" t="str">
        <f t="shared" si="1"/>
        <v>Sunday</v>
      </c>
      <c r="F95" s="4" t="str">
        <f t="shared" si="2"/>
        <v>February</v>
      </c>
      <c r="G95" s="3">
        <v>2026.0</v>
      </c>
    </row>
    <row r="96" ht="15.75" customHeight="1">
      <c r="A96" s="3">
        <v>4.8683318E7</v>
      </c>
      <c r="B96" s="4" t="s">
        <v>9</v>
      </c>
      <c r="C96" s="4" t="s">
        <v>10</v>
      </c>
      <c r="D96" s="5">
        <v>46039.0</v>
      </c>
      <c r="E96" s="3" t="str">
        <f t="shared" si="1"/>
        <v>Saturday</v>
      </c>
      <c r="F96" s="4" t="str">
        <f t="shared" si="2"/>
        <v>January</v>
      </c>
      <c r="G96" s="3">
        <v>2026.0</v>
      </c>
    </row>
    <row r="97" ht="15.75" customHeight="1">
      <c r="A97" s="3">
        <v>4.8722318E7</v>
      </c>
      <c r="B97" s="4" t="s">
        <v>7</v>
      </c>
      <c r="C97" s="4" t="s">
        <v>8</v>
      </c>
      <c r="D97" s="5">
        <v>46042.0</v>
      </c>
      <c r="E97" s="3" t="str">
        <f t="shared" si="1"/>
        <v>Tuesday</v>
      </c>
      <c r="F97" s="4" t="str">
        <f t="shared" si="2"/>
        <v>January</v>
      </c>
      <c r="G97" s="3">
        <v>2026.0</v>
      </c>
    </row>
    <row r="98" ht="15.75" customHeight="1">
      <c r="A98" s="3">
        <v>4.9517749E7</v>
      </c>
      <c r="B98" s="4" t="s">
        <v>21</v>
      </c>
      <c r="C98" s="4" t="s">
        <v>22</v>
      </c>
      <c r="D98" s="5">
        <v>46057.0</v>
      </c>
      <c r="E98" s="3" t="str">
        <f t="shared" si="1"/>
        <v>Wednesday</v>
      </c>
      <c r="F98" s="4" t="str">
        <f t="shared" si="2"/>
        <v>February</v>
      </c>
      <c r="G98" s="3">
        <v>2026.0</v>
      </c>
    </row>
    <row r="99" ht="15.75" customHeight="1">
      <c r="A99" s="3">
        <v>4.8665827E7</v>
      </c>
      <c r="B99" s="4" t="s">
        <v>73</v>
      </c>
      <c r="C99" s="4" t="s">
        <v>74</v>
      </c>
      <c r="D99" s="5">
        <v>46037.0</v>
      </c>
      <c r="E99" s="3" t="str">
        <f t="shared" si="1"/>
        <v>Thursday</v>
      </c>
      <c r="F99" s="4" t="str">
        <f t="shared" si="2"/>
        <v>January</v>
      </c>
      <c r="G99" s="3">
        <v>2026.0</v>
      </c>
    </row>
    <row r="100" ht="15.75" customHeight="1">
      <c r="A100" s="3">
        <v>4.846654E7</v>
      </c>
      <c r="B100" s="4" t="s">
        <v>105</v>
      </c>
      <c r="D100" s="5">
        <v>46026.0</v>
      </c>
      <c r="E100" s="3" t="str">
        <f t="shared" si="1"/>
        <v>Sunday</v>
      </c>
      <c r="F100" s="4" t="str">
        <f t="shared" si="2"/>
        <v>January</v>
      </c>
      <c r="G100" s="3">
        <v>2026.0</v>
      </c>
    </row>
    <row r="101" ht="15.75" customHeight="1">
      <c r="A101" s="3">
        <v>4.86753E7</v>
      </c>
      <c r="B101" s="4" t="s">
        <v>79</v>
      </c>
      <c r="C101" s="4" t="s">
        <v>80</v>
      </c>
      <c r="D101" s="5">
        <v>46038.0</v>
      </c>
      <c r="E101" s="3" t="str">
        <f t="shared" si="1"/>
        <v>Friday</v>
      </c>
      <c r="F101" s="4" t="str">
        <f t="shared" si="2"/>
        <v>January</v>
      </c>
      <c r="G101" s="3">
        <v>2026.0</v>
      </c>
    </row>
    <row r="102" ht="15.75" customHeight="1">
      <c r="A102" s="3">
        <v>4.8601124E7</v>
      </c>
      <c r="B102" s="4" t="s">
        <v>106</v>
      </c>
      <c r="C102" s="4" t="s">
        <v>107</v>
      </c>
      <c r="D102" s="5">
        <v>46030.0</v>
      </c>
      <c r="E102" s="3" t="str">
        <f t="shared" si="1"/>
        <v>Thursday</v>
      </c>
      <c r="F102" s="4" t="str">
        <f t="shared" si="2"/>
        <v>January</v>
      </c>
      <c r="G102" s="3">
        <v>2026.0</v>
      </c>
    </row>
    <row r="103" ht="15.75" customHeight="1">
      <c r="A103" s="3">
        <v>4.9961777E7</v>
      </c>
      <c r="B103" s="4" t="s">
        <v>7</v>
      </c>
      <c r="C103" s="4" t="s">
        <v>8</v>
      </c>
      <c r="D103" s="5">
        <v>46065.0</v>
      </c>
      <c r="E103" s="3" t="str">
        <f t="shared" si="1"/>
        <v>Thursday</v>
      </c>
      <c r="F103" s="4" t="str">
        <f t="shared" si="2"/>
        <v>February</v>
      </c>
      <c r="G103" s="3">
        <v>2026.0</v>
      </c>
    </row>
    <row r="104" ht="15.75" customHeight="1">
      <c r="A104" s="3">
        <v>4.9395894E7</v>
      </c>
      <c r="B104" s="4" t="s">
        <v>108</v>
      </c>
      <c r="C104" s="4" t="s">
        <v>109</v>
      </c>
      <c r="D104" s="5">
        <v>46055.0</v>
      </c>
      <c r="E104" s="3" t="str">
        <f t="shared" si="1"/>
        <v>Monday</v>
      </c>
      <c r="F104" s="4" t="str">
        <f t="shared" si="2"/>
        <v>February</v>
      </c>
      <c r="G104" s="3">
        <v>2026.0</v>
      </c>
    </row>
    <row r="105" ht="15.75" customHeight="1">
      <c r="A105" s="3">
        <v>4.9961968E7</v>
      </c>
      <c r="B105" s="4" t="s">
        <v>110</v>
      </c>
      <c r="C105" s="4" t="s">
        <v>111</v>
      </c>
      <c r="D105" s="5">
        <v>46065.0</v>
      </c>
      <c r="E105" s="3" t="str">
        <f t="shared" si="1"/>
        <v>Thursday</v>
      </c>
      <c r="F105" s="4" t="str">
        <f t="shared" si="2"/>
        <v>February</v>
      </c>
      <c r="G105" s="3">
        <v>2026.0</v>
      </c>
    </row>
    <row r="106" ht="15.75" customHeight="1">
      <c r="A106" s="3">
        <v>4.9303486E7</v>
      </c>
      <c r="B106" s="4" t="s">
        <v>112</v>
      </c>
      <c r="C106" s="4" t="s">
        <v>113</v>
      </c>
      <c r="D106" s="5">
        <v>46053.0</v>
      </c>
      <c r="E106" s="3" t="str">
        <f t="shared" si="1"/>
        <v>Saturday</v>
      </c>
      <c r="F106" s="4" t="str">
        <f t="shared" si="2"/>
        <v>January</v>
      </c>
      <c r="G106" s="3">
        <v>2026.0</v>
      </c>
    </row>
    <row r="107" ht="15.75" customHeight="1">
      <c r="A107" s="3">
        <v>5.0023797E7</v>
      </c>
      <c r="B107" s="4" t="s">
        <v>110</v>
      </c>
      <c r="C107" s="4" t="s">
        <v>111</v>
      </c>
      <c r="D107" s="5">
        <v>46066.0</v>
      </c>
      <c r="E107" s="3" t="str">
        <f t="shared" si="1"/>
        <v>Friday</v>
      </c>
      <c r="F107" s="4" t="str">
        <f t="shared" si="2"/>
        <v>February</v>
      </c>
      <c r="G107" s="3">
        <v>2026.0</v>
      </c>
    </row>
    <row r="108" ht="15.75" customHeight="1">
      <c r="A108" s="3">
        <v>4.930395E7</v>
      </c>
      <c r="B108" s="4" t="s">
        <v>61</v>
      </c>
      <c r="C108" s="4" t="s">
        <v>62</v>
      </c>
      <c r="D108" s="5">
        <v>46054.0</v>
      </c>
      <c r="E108" s="3" t="str">
        <f t="shared" si="1"/>
        <v>Sunday</v>
      </c>
      <c r="F108" s="4" t="str">
        <f t="shared" si="2"/>
        <v>February</v>
      </c>
      <c r="G108" s="3">
        <v>2026.0</v>
      </c>
    </row>
    <row r="109" ht="15.75" customHeight="1">
      <c r="A109" s="3">
        <v>4.872232E7</v>
      </c>
      <c r="B109" s="4" t="s">
        <v>39</v>
      </c>
      <c r="C109" s="4" t="s">
        <v>40</v>
      </c>
      <c r="D109" s="5">
        <v>46042.0</v>
      </c>
      <c r="E109" s="3" t="str">
        <f t="shared" si="1"/>
        <v>Tuesday</v>
      </c>
      <c r="F109" s="4" t="str">
        <f t="shared" si="2"/>
        <v>January</v>
      </c>
      <c r="G109" s="3">
        <v>2026.0</v>
      </c>
    </row>
    <row r="110" ht="15.75" customHeight="1">
      <c r="A110" s="3">
        <v>5.0032498E7</v>
      </c>
      <c r="B110" s="4" t="s">
        <v>114</v>
      </c>
      <c r="C110" s="4" t="s">
        <v>115</v>
      </c>
      <c r="D110" s="5">
        <v>46068.0</v>
      </c>
      <c r="E110" s="3" t="str">
        <f t="shared" si="1"/>
        <v>Sunday</v>
      </c>
      <c r="F110" s="4" t="str">
        <f t="shared" si="2"/>
        <v>February</v>
      </c>
      <c r="G110" s="3">
        <v>2026.0</v>
      </c>
    </row>
    <row r="111" ht="15.75" customHeight="1">
      <c r="A111" s="3">
        <v>4.9512911E7</v>
      </c>
      <c r="B111" s="4" t="s">
        <v>75</v>
      </c>
      <c r="C111" s="4" t="s">
        <v>76</v>
      </c>
      <c r="D111" s="5">
        <v>46057.0</v>
      </c>
      <c r="E111" s="3" t="str">
        <f t="shared" si="1"/>
        <v>Wednesday</v>
      </c>
      <c r="F111" s="4" t="str">
        <f t="shared" si="2"/>
        <v>February</v>
      </c>
      <c r="G111" s="3">
        <v>2026.0</v>
      </c>
    </row>
    <row r="112" ht="15.75" customHeight="1">
      <c r="A112" s="3">
        <v>4.9303225E7</v>
      </c>
      <c r="B112" s="4" t="s">
        <v>94</v>
      </c>
      <c r="C112" s="4" t="s">
        <v>95</v>
      </c>
      <c r="D112" s="5">
        <v>46053.0</v>
      </c>
      <c r="E112" s="3" t="str">
        <f t="shared" si="1"/>
        <v>Saturday</v>
      </c>
      <c r="F112" s="4" t="str">
        <f t="shared" si="2"/>
        <v>January</v>
      </c>
      <c r="G112" s="3">
        <v>2026.0</v>
      </c>
    </row>
    <row r="113" ht="15.75" customHeight="1">
      <c r="A113" s="3">
        <v>4.8435989E7</v>
      </c>
      <c r="B113" s="4" t="s">
        <v>116</v>
      </c>
      <c r="C113" s="4" t="s">
        <v>117</v>
      </c>
      <c r="D113" s="5">
        <v>46025.0</v>
      </c>
      <c r="E113" s="3" t="str">
        <f t="shared" si="1"/>
        <v>Saturday</v>
      </c>
      <c r="F113" s="4" t="str">
        <f t="shared" si="2"/>
        <v>January</v>
      </c>
      <c r="G113" s="3">
        <v>2026.0</v>
      </c>
    </row>
    <row r="114" ht="15.75" customHeight="1">
      <c r="A114" s="3">
        <v>4.9304004E7</v>
      </c>
      <c r="B114" s="4" t="s">
        <v>118</v>
      </c>
      <c r="C114" s="4" t="s">
        <v>119</v>
      </c>
      <c r="D114" s="5">
        <v>46054.0</v>
      </c>
      <c r="E114" s="3" t="str">
        <f t="shared" si="1"/>
        <v>Sunday</v>
      </c>
      <c r="F114" s="4" t="str">
        <f t="shared" si="2"/>
        <v>February</v>
      </c>
      <c r="G114" s="3">
        <v>2026.0</v>
      </c>
    </row>
    <row r="115" ht="15.75" customHeight="1">
      <c r="A115" s="3">
        <v>4.9724523E7</v>
      </c>
      <c r="B115" s="4" t="s">
        <v>120</v>
      </c>
      <c r="C115" s="4" t="s">
        <v>121</v>
      </c>
      <c r="D115" s="5">
        <v>46057.0</v>
      </c>
      <c r="E115" s="3" t="str">
        <f t="shared" si="1"/>
        <v>Wednesday</v>
      </c>
      <c r="F115" s="4" t="str">
        <f t="shared" si="2"/>
        <v>February</v>
      </c>
      <c r="G115" s="3">
        <v>2026.0</v>
      </c>
    </row>
    <row r="116" ht="15.75" customHeight="1">
      <c r="A116" s="3">
        <v>4.8412819E7</v>
      </c>
      <c r="B116" s="4" t="s">
        <v>122</v>
      </c>
      <c r="C116" s="4" t="s">
        <v>123</v>
      </c>
      <c r="D116" s="5">
        <v>46023.0</v>
      </c>
      <c r="E116" s="3" t="str">
        <f t="shared" si="1"/>
        <v>Thursday</v>
      </c>
      <c r="F116" s="4" t="str">
        <f t="shared" si="2"/>
        <v>January</v>
      </c>
      <c r="G116" s="3">
        <v>2026.0</v>
      </c>
    </row>
    <row r="117" ht="15.75" customHeight="1">
      <c r="A117" s="3">
        <v>4.8675301E7</v>
      </c>
      <c r="B117" s="4" t="s">
        <v>7</v>
      </c>
      <c r="C117" s="4" t="s">
        <v>8</v>
      </c>
      <c r="D117" s="5">
        <v>46038.0</v>
      </c>
      <c r="E117" s="3" t="str">
        <f t="shared" si="1"/>
        <v>Friday</v>
      </c>
      <c r="F117" s="4" t="str">
        <f t="shared" si="2"/>
        <v>January</v>
      </c>
      <c r="G117" s="3">
        <v>2026.0</v>
      </c>
    </row>
    <row r="118" ht="15.75" customHeight="1">
      <c r="A118" s="3">
        <v>4.9298823E7</v>
      </c>
      <c r="B118" s="4" t="s">
        <v>124</v>
      </c>
      <c r="C118" s="4" t="s">
        <v>125</v>
      </c>
      <c r="D118" s="5">
        <v>46053.0</v>
      </c>
      <c r="E118" s="3" t="str">
        <f t="shared" si="1"/>
        <v>Saturday</v>
      </c>
      <c r="F118" s="4" t="str">
        <f t="shared" si="2"/>
        <v>January</v>
      </c>
      <c r="G118" s="3">
        <v>2026.0</v>
      </c>
    </row>
    <row r="119" ht="15.75" customHeight="1">
      <c r="A119" s="3">
        <v>4.988815E7</v>
      </c>
      <c r="B119" s="4" t="s">
        <v>39</v>
      </c>
      <c r="C119" s="4" t="s">
        <v>40</v>
      </c>
      <c r="D119" s="5">
        <v>46064.0</v>
      </c>
      <c r="E119" s="3" t="str">
        <f t="shared" si="1"/>
        <v>Wednesday</v>
      </c>
      <c r="F119" s="4" t="str">
        <f t="shared" si="2"/>
        <v>February</v>
      </c>
      <c r="G119" s="3">
        <v>2026.0</v>
      </c>
    </row>
    <row r="120" ht="15.75" customHeight="1">
      <c r="A120" s="3">
        <v>4.8590653E7</v>
      </c>
      <c r="B120" s="4" t="s">
        <v>126</v>
      </c>
      <c r="C120" s="4" t="s">
        <v>127</v>
      </c>
      <c r="D120" s="5">
        <v>46029.0</v>
      </c>
      <c r="E120" s="3" t="str">
        <f t="shared" si="1"/>
        <v>Wednesday</v>
      </c>
      <c r="F120" s="4" t="str">
        <f t="shared" si="2"/>
        <v>January</v>
      </c>
      <c r="G120" s="3">
        <v>2026.0</v>
      </c>
    </row>
    <row r="121" ht="15.75" customHeight="1">
      <c r="A121" s="3">
        <v>4.8412824E7</v>
      </c>
      <c r="B121" s="4" t="s">
        <v>128</v>
      </c>
      <c r="C121" s="4" t="s">
        <v>129</v>
      </c>
      <c r="D121" s="5">
        <v>46023.0</v>
      </c>
      <c r="E121" s="3" t="str">
        <f t="shared" si="1"/>
        <v>Thursday</v>
      </c>
      <c r="F121" s="4" t="str">
        <f t="shared" si="2"/>
        <v>January</v>
      </c>
      <c r="G121" s="3">
        <v>2026.0</v>
      </c>
    </row>
    <row r="122" ht="15.75" customHeight="1">
      <c r="A122" s="3">
        <v>4.9962485E7</v>
      </c>
      <c r="B122" s="4" t="s">
        <v>130</v>
      </c>
      <c r="C122" s="4" t="s">
        <v>131</v>
      </c>
      <c r="D122" s="5">
        <v>46065.0</v>
      </c>
      <c r="E122" s="3" t="str">
        <f t="shared" si="1"/>
        <v>Thursday</v>
      </c>
      <c r="F122" s="4" t="str">
        <f t="shared" si="2"/>
        <v>February</v>
      </c>
      <c r="G122" s="3">
        <v>2026.0</v>
      </c>
    </row>
    <row r="123" ht="15.75" customHeight="1">
      <c r="A123" s="3">
        <v>4.8628057E7</v>
      </c>
      <c r="B123" s="4" t="s">
        <v>132</v>
      </c>
      <c r="C123" s="4" t="s">
        <v>133</v>
      </c>
      <c r="D123" s="5">
        <v>46034.0</v>
      </c>
      <c r="E123" s="3" t="str">
        <f t="shared" si="1"/>
        <v>Monday</v>
      </c>
      <c r="F123" s="4" t="str">
        <f t="shared" si="2"/>
        <v>January</v>
      </c>
      <c r="G123" s="3">
        <v>2026.0</v>
      </c>
    </row>
    <row r="124" ht="15.75" customHeight="1">
      <c r="A124" s="3">
        <v>4.9249979E7</v>
      </c>
      <c r="B124" s="4" t="s">
        <v>134</v>
      </c>
      <c r="C124" s="4" t="s">
        <v>135</v>
      </c>
      <c r="D124" s="5">
        <v>46051.0</v>
      </c>
      <c r="E124" s="3" t="str">
        <f t="shared" si="1"/>
        <v>Thursday</v>
      </c>
      <c r="F124" s="4" t="str">
        <f t="shared" si="2"/>
        <v>January</v>
      </c>
      <c r="G124" s="3">
        <v>2026.0</v>
      </c>
    </row>
    <row r="125" ht="15.75" customHeight="1">
      <c r="A125" s="3">
        <v>4.9888476E7</v>
      </c>
      <c r="B125" s="4" t="s">
        <v>136</v>
      </c>
      <c r="C125" s="4" t="s">
        <v>137</v>
      </c>
      <c r="D125" s="5">
        <v>46062.0</v>
      </c>
      <c r="E125" s="3" t="str">
        <f t="shared" si="1"/>
        <v>Monday</v>
      </c>
      <c r="F125" s="4" t="str">
        <f t="shared" si="2"/>
        <v>February</v>
      </c>
      <c r="G125" s="3">
        <v>2026.0</v>
      </c>
    </row>
    <row r="126" ht="15.75" customHeight="1">
      <c r="A126" s="3">
        <v>5.0032163E7</v>
      </c>
      <c r="B126" s="4" t="s">
        <v>39</v>
      </c>
      <c r="C126" s="4" t="s">
        <v>40</v>
      </c>
      <c r="D126" s="5">
        <v>46068.0</v>
      </c>
      <c r="E126" s="3" t="str">
        <f t="shared" si="1"/>
        <v>Sunday</v>
      </c>
      <c r="F126" s="4" t="str">
        <f t="shared" si="2"/>
        <v>February</v>
      </c>
      <c r="G126" s="3">
        <v>2026.0</v>
      </c>
    </row>
    <row r="127" ht="15.75" customHeight="1">
      <c r="A127" s="3">
        <v>4.8433119E7</v>
      </c>
      <c r="B127" s="4" t="s">
        <v>138</v>
      </c>
      <c r="C127" s="4" t="s">
        <v>139</v>
      </c>
      <c r="D127" s="5">
        <v>46024.0</v>
      </c>
      <c r="E127" s="3" t="str">
        <f t="shared" si="1"/>
        <v>Friday</v>
      </c>
      <c r="F127" s="4" t="str">
        <f t="shared" si="2"/>
        <v>January</v>
      </c>
      <c r="G127" s="3">
        <v>2026.0</v>
      </c>
    </row>
    <row r="128" ht="15.75" customHeight="1">
      <c r="A128" s="3">
        <v>4.8601127E7</v>
      </c>
      <c r="B128" s="4" t="s">
        <v>140</v>
      </c>
      <c r="C128" s="4" t="s">
        <v>141</v>
      </c>
      <c r="D128" s="5">
        <v>46030.0</v>
      </c>
      <c r="E128" s="3" t="str">
        <f t="shared" si="1"/>
        <v>Thursday</v>
      </c>
      <c r="F128" s="4" t="str">
        <f t="shared" si="2"/>
        <v>January</v>
      </c>
      <c r="G128" s="3">
        <v>2026.0</v>
      </c>
    </row>
    <row r="129" ht="15.75" customHeight="1">
      <c r="A129" s="3">
        <v>4.9961832E7</v>
      </c>
      <c r="B129" s="4" t="s">
        <v>89</v>
      </c>
      <c r="C129" s="4" t="s">
        <v>90</v>
      </c>
      <c r="D129" s="5">
        <v>46065.0</v>
      </c>
      <c r="E129" s="3" t="str">
        <f t="shared" si="1"/>
        <v>Thursday</v>
      </c>
      <c r="F129" s="4" t="str">
        <f t="shared" si="2"/>
        <v>February</v>
      </c>
      <c r="G129" s="3">
        <v>2026.0</v>
      </c>
    </row>
    <row r="130" ht="15.75" customHeight="1">
      <c r="A130" s="3">
        <v>5.0026505E7</v>
      </c>
      <c r="B130" s="4" t="s">
        <v>134</v>
      </c>
      <c r="C130" s="4" t="s">
        <v>135</v>
      </c>
      <c r="D130" s="5">
        <v>46066.0</v>
      </c>
      <c r="E130" s="3" t="str">
        <f t="shared" si="1"/>
        <v>Friday</v>
      </c>
      <c r="F130" s="4" t="str">
        <f t="shared" si="2"/>
        <v>February</v>
      </c>
      <c r="G130" s="3">
        <v>2026.0</v>
      </c>
    </row>
    <row r="131" ht="15.75" customHeight="1">
      <c r="A131" s="3">
        <v>5.0032123E7</v>
      </c>
      <c r="B131" s="4" t="s">
        <v>142</v>
      </c>
      <c r="C131" s="4" t="s">
        <v>143</v>
      </c>
      <c r="D131" s="5">
        <v>46068.0</v>
      </c>
      <c r="E131" s="3" t="str">
        <f t="shared" si="1"/>
        <v>Sunday</v>
      </c>
      <c r="F131" s="4" t="str">
        <f t="shared" si="2"/>
        <v>February</v>
      </c>
      <c r="G131" s="3">
        <v>2026.0</v>
      </c>
    </row>
    <row r="132" ht="15.75" customHeight="1">
      <c r="A132" s="3">
        <v>4.847182E7</v>
      </c>
      <c r="B132" s="4" t="s">
        <v>144</v>
      </c>
      <c r="C132" s="4" t="s">
        <v>145</v>
      </c>
      <c r="D132" s="5">
        <v>46024.0</v>
      </c>
      <c r="E132" s="3" t="str">
        <f t="shared" si="1"/>
        <v>Friday</v>
      </c>
      <c r="F132" s="4" t="str">
        <f t="shared" si="2"/>
        <v>January</v>
      </c>
      <c r="G132" s="3">
        <v>2026.0</v>
      </c>
    </row>
    <row r="133" ht="15.75" customHeight="1">
      <c r="A133" s="3">
        <v>4.9724495E7</v>
      </c>
      <c r="B133" s="4" t="s">
        <v>79</v>
      </c>
      <c r="C133" s="4" t="s">
        <v>80</v>
      </c>
      <c r="D133" s="5">
        <v>46050.0</v>
      </c>
      <c r="E133" s="3" t="str">
        <f t="shared" si="1"/>
        <v>Wednesday</v>
      </c>
      <c r="F133" s="4" t="str">
        <f t="shared" si="2"/>
        <v>January</v>
      </c>
      <c r="G133" s="3">
        <v>2026.0</v>
      </c>
    </row>
    <row r="134" ht="15.75" customHeight="1">
      <c r="A134" s="3">
        <v>4.9512957E7</v>
      </c>
      <c r="B134" s="4" t="s">
        <v>89</v>
      </c>
      <c r="C134" s="4" t="s">
        <v>90</v>
      </c>
      <c r="D134" s="5">
        <v>46057.0</v>
      </c>
      <c r="E134" s="3" t="str">
        <f t="shared" si="1"/>
        <v>Wednesday</v>
      </c>
      <c r="F134" s="4" t="str">
        <f t="shared" si="2"/>
        <v>February</v>
      </c>
      <c r="G134" s="3">
        <v>2026.0</v>
      </c>
    </row>
    <row r="135" ht="15.75" customHeight="1">
      <c r="A135" s="3">
        <v>4.951775E7</v>
      </c>
      <c r="B135" s="4" t="s">
        <v>146</v>
      </c>
      <c r="C135" s="4" t="s">
        <v>147</v>
      </c>
      <c r="D135" s="5">
        <v>46057.0</v>
      </c>
      <c r="E135" s="3" t="str">
        <f t="shared" si="1"/>
        <v>Wednesday</v>
      </c>
      <c r="F135" s="4" t="str">
        <f t="shared" si="2"/>
        <v>February</v>
      </c>
      <c r="G135" s="3">
        <v>2026.0</v>
      </c>
    </row>
    <row r="136" ht="15.75" customHeight="1">
      <c r="A136" s="3">
        <v>4.9516326E7</v>
      </c>
      <c r="B136" s="4" t="s">
        <v>21</v>
      </c>
      <c r="C136" s="4" t="s">
        <v>22</v>
      </c>
      <c r="D136" s="5">
        <v>46038.0</v>
      </c>
      <c r="E136" s="3" t="str">
        <f t="shared" si="1"/>
        <v>Friday</v>
      </c>
      <c r="F136" s="4" t="str">
        <f t="shared" si="2"/>
        <v>January</v>
      </c>
      <c r="G136" s="3">
        <v>2026.0</v>
      </c>
    </row>
    <row r="137" ht="15.75" customHeight="1">
      <c r="A137" s="3">
        <v>5.0347508E7</v>
      </c>
      <c r="B137" s="4" t="s">
        <v>59</v>
      </c>
      <c r="C137" s="4" t="s">
        <v>60</v>
      </c>
      <c r="D137" s="5">
        <v>46077.0</v>
      </c>
      <c r="E137" s="3" t="str">
        <f t="shared" si="1"/>
        <v>Tuesday</v>
      </c>
      <c r="F137" s="4" t="str">
        <f t="shared" si="2"/>
        <v>February</v>
      </c>
      <c r="G137" s="3">
        <v>2026.0</v>
      </c>
    </row>
    <row r="138" ht="15.75" customHeight="1">
      <c r="A138" s="3">
        <v>4.9250017E7</v>
      </c>
      <c r="B138" s="4" t="s">
        <v>43</v>
      </c>
      <c r="C138" s="4" t="s">
        <v>44</v>
      </c>
      <c r="D138" s="5">
        <v>46051.0</v>
      </c>
      <c r="E138" s="3" t="str">
        <f t="shared" si="1"/>
        <v>Thursday</v>
      </c>
      <c r="F138" s="4" t="str">
        <f t="shared" si="2"/>
        <v>January</v>
      </c>
      <c r="G138" s="3">
        <v>2026.0</v>
      </c>
    </row>
    <row r="139" ht="15.75" customHeight="1">
      <c r="A139" s="3">
        <v>4.8686623E7</v>
      </c>
      <c r="B139" s="4" t="s">
        <v>55</v>
      </c>
      <c r="C139" s="4" t="s">
        <v>56</v>
      </c>
      <c r="D139" s="5">
        <v>46038.0</v>
      </c>
      <c r="E139" s="3" t="str">
        <f t="shared" si="1"/>
        <v>Friday</v>
      </c>
      <c r="F139" s="4" t="str">
        <f t="shared" si="2"/>
        <v>January</v>
      </c>
      <c r="G139" s="3">
        <v>2026.0</v>
      </c>
    </row>
    <row r="140" ht="15.75" customHeight="1">
      <c r="A140" s="3">
        <v>5.0032144E7</v>
      </c>
      <c r="B140" s="4" t="s">
        <v>92</v>
      </c>
      <c r="C140" s="4" t="s">
        <v>93</v>
      </c>
      <c r="D140" s="5">
        <v>46068.0</v>
      </c>
      <c r="E140" s="3" t="str">
        <f t="shared" si="1"/>
        <v>Sunday</v>
      </c>
      <c r="F140" s="4" t="str">
        <f t="shared" si="2"/>
        <v>February</v>
      </c>
      <c r="G140" s="3">
        <v>2026.0</v>
      </c>
    </row>
    <row r="141" ht="15.75" customHeight="1">
      <c r="A141" s="3">
        <v>5.0023642E7</v>
      </c>
      <c r="B141" s="4" t="s">
        <v>57</v>
      </c>
      <c r="C141" s="4" t="s">
        <v>58</v>
      </c>
      <c r="D141" s="5">
        <v>46067.0</v>
      </c>
      <c r="E141" s="3" t="str">
        <f t="shared" si="1"/>
        <v>Saturday</v>
      </c>
      <c r="F141" s="4" t="str">
        <f t="shared" si="2"/>
        <v>February</v>
      </c>
      <c r="G141" s="3">
        <v>2026.0</v>
      </c>
    </row>
    <row r="142" ht="15.75" customHeight="1">
      <c r="A142" s="3">
        <v>4.8655016E7</v>
      </c>
      <c r="B142" s="4" t="s">
        <v>55</v>
      </c>
      <c r="C142" s="4" t="s">
        <v>56</v>
      </c>
      <c r="D142" s="5">
        <v>46032.0</v>
      </c>
      <c r="E142" s="3" t="str">
        <f t="shared" si="1"/>
        <v>Saturday</v>
      </c>
      <c r="F142" s="4" t="str">
        <f t="shared" si="2"/>
        <v>January</v>
      </c>
      <c r="G142" s="3">
        <v>2026.0</v>
      </c>
    </row>
    <row r="143" ht="15.75" customHeight="1">
      <c r="A143" s="3">
        <v>4.8712389E7</v>
      </c>
      <c r="B143" s="4" t="s">
        <v>132</v>
      </c>
      <c r="C143" s="4" t="s">
        <v>133</v>
      </c>
      <c r="D143" s="5">
        <v>46041.0</v>
      </c>
      <c r="E143" s="3" t="str">
        <f t="shared" si="1"/>
        <v>Monday</v>
      </c>
      <c r="F143" s="4" t="str">
        <f t="shared" si="2"/>
        <v>January</v>
      </c>
      <c r="G143" s="3">
        <v>2026.0</v>
      </c>
    </row>
    <row r="144" ht="15.75" customHeight="1">
      <c r="A144" s="3">
        <v>4.9620073E7</v>
      </c>
      <c r="B144" s="4" t="s">
        <v>39</v>
      </c>
      <c r="C144" s="4" t="s">
        <v>40</v>
      </c>
      <c r="D144" s="5">
        <v>46059.0</v>
      </c>
      <c r="E144" s="3" t="str">
        <f t="shared" si="1"/>
        <v>Friday</v>
      </c>
      <c r="F144" s="4" t="str">
        <f t="shared" si="2"/>
        <v>February</v>
      </c>
      <c r="G144" s="3">
        <v>2026.0</v>
      </c>
    </row>
    <row r="145" ht="15.75" customHeight="1">
      <c r="A145" s="3">
        <v>4.8667258E7</v>
      </c>
      <c r="B145" s="4" t="s">
        <v>37</v>
      </c>
      <c r="C145" s="4" t="s">
        <v>38</v>
      </c>
      <c r="D145" s="5">
        <v>46036.0</v>
      </c>
      <c r="E145" s="3" t="str">
        <f t="shared" si="1"/>
        <v>Wednesday</v>
      </c>
      <c r="F145" s="4" t="str">
        <f t="shared" si="2"/>
        <v>January</v>
      </c>
      <c r="G145" s="3">
        <v>2026.0</v>
      </c>
    </row>
    <row r="146" ht="15.75" customHeight="1">
      <c r="A146" s="3">
        <v>4.9724558E7</v>
      </c>
      <c r="B146" s="4" t="s">
        <v>130</v>
      </c>
      <c r="C146" s="4" t="s">
        <v>131</v>
      </c>
      <c r="D146" s="5">
        <v>46062.0</v>
      </c>
      <c r="E146" s="3" t="str">
        <f t="shared" si="1"/>
        <v>Monday</v>
      </c>
      <c r="F146" s="4" t="str">
        <f t="shared" si="2"/>
        <v>February</v>
      </c>
      <c r="G146" s="3">
        <v>2026.0</v>
      </c>
    </row>
    <row r="147" ht="15.75" customHeight="1">
      <c r="A147" s="3">
        <v>4.8646424E7</v>
      </c>
      <c r="B147" s="4" t="s">
        <v>73</v>
      </c>
      <c r="C147" s="4" t="s">
        <v>74</v>
      </c>
      <c r="D147" s="5">
        <v>46035.0</v>
      </c>
      <c r="E147" s="3" t="str">
        <f t="shared" si="1"/>
        <v>Tuesday</v>
      </c>
      <c r="F147" s="4" t="str">
        <f t="shared" si="2"/>
        <v>January</v>
      </c>
      <c r="G147" s="3">
        <v>2026.0</v>
      </c>
    </row>
    <row r="148" ht="15.75" customHeight="1">
      <c r="A148" s="3">
        <v>4.8628058E7</v>
      </c>
      <c r="B148" s="4" t="s">
        <v>148</v>
      </c>
      <c r="C148" s="4" t="s">
        <v>149</v>
      </c>
      <c r="D148" s="5">
        <v>46034.0</v>
      </c>
      <c r="E148" s="3" t="str">
        <f t="shared" si="1"/>
        <v>Monday</v>
      </c>
      <c r="F148" s="4" t="str">
        <f t="shared" si="2"/>
        <v>January</v>
      </c>
      <c r="G148" s="3">
        <v>2026.0</v>
      </c>
    </row>
    <row r="149" ht="15.75" customHeight="1">
      <c r="A149" s="3">
        <v>4.930387E7</v>
      </c>
      <c r="B149" s="4" t="s">
        <v>9</v>
      </c>
      <c r="C149" s="4" t="s">
        <v>10</v>
      </c>
      <c r="D149" s="5">
        <v>46054.0</v>
      </c>
      <c r="E149" s="3" t="str">
        <f t="shared" si="1"/>
        <v>Sunday</v>
      </c>
      <c r="F149" s="4" t="str">
        <f t="shared" si="2"/>
        <v>February</v>
      </c>
      <c r="G149" s="3">
        <v>2026.0</v>
      </c>
    </row>
    <row r="150" ht="15.75" customHeight="1">
      <c r="A150" s="3">
        <v>4.8601123E7</v>
      </c>
      <c r="B150" s="4" t="s">
        <v>150</v>
      </c>
      <c r="C150" s="4" t="s">
        <v>151</v>
      </c>
      <c r="D150" s="5">
        <v>46030.0</v>
      </c>
      <c r="E150" s="3" t="str">
        <f t="shared" si="1"/>
        <v>Thursday</v>
      </c>
      <c r="F150" s="4" t="str">
        <f t="shared" si="2"/>
        <v>January</v>
      </c>
      <c r="G150" s="3">
        <v>2026.0</v>
      </c>
    </row>
    <row r="151" ht="15.75" customHeight="1">
      <c r="A151" s="3">
        <v>4.9962498E7</v>
      </c>
      <c r="B151" s="4" t="s">
        <v>81</v>
      </c>
      <c r="C151" s="4" t="s">
        <v>82</v>
      </c>
      <c r="D151" s="5">
        <v>46065.0</v>
      </c>
      <c r="E151" s="3" t="str">
        <f t="shared" si="1"/>
        <v>Thursday</v>
      </c>
      <c r="F151" s="4" t="str">
        <f t="shared" si="2"/>
        <v>February</v>
      </c>
      <c r="G151" s="3">
        <v>2026.0</v>
      </c>
    </row>
    <row r="152" ht="15.75" customHeight="1">
      <c r="A152" s="3">
        <v>4.9888013E7</v>
      </c>
      <c r="B152" s="4" t="s">
        <v>47</v>
      </c>
      <c r="C152" s="4" t="s">
        <v>48</v>
      </c>
      <c r="D152" s="5">
        <v>46064.0</v>
      </c>
      <c r="E152" s="3" t="str">
        <f t="shared" si="1"/>
        <v>Wednesday</v>
      </c>
      <c r="F152" s="4" t="str">
        <f t="shared" si="2"/>
        <v>February</v>
      </c>
      <c r="G152" s="3">
        <v>2026.0</v>
      </c>
    </row>
    <row r="153" ht="15.75" customHeight="1">
      <c r="A153" s="3">
        <v>4.9724525E7</v>
      </c>
      <c r="B153" s="4" t="s">
        <v>152</v>
      </c>
      <c r="C153" s="4" t="s">
        <v>153</v>
      </c>
      <c r="D153" s="5">
        <v>46057.0</v>
      </c>
      <c r="E153" s="3" t="str">
        <f t="shared" si="1"/>
        <v>Wednesday</v>
      </c>
      <c r="F153" s="4" t="str">
        <f t="shared" si="2"/>
        <v>February</v>
      </c>
      <c r="G153" s="3">
        <v>2026.0</v>
      </c>
    </row>
    <row r="154" ht="15.75" customHeight="1">
      <c r="A154" s="3">
        <v>4.9381977E7</v>
      </c>
      <c r="B154" s="4" t="s">
        <v>39</v>
      </c>
      <c r="C154" s="4" t="s">
        <v>40</v>
      </c>
      <c r="D154" s="5">
        <v>46055.0</v>
      </c>
      <c r="E154" s="3" t="str">
        <f t="shared" si="1"/>
        <v>Monday</v>
      </c>
      <c r="F154" s="4" t="str">
        <f t="shared" si="2"/>
        <v>February</v>
      </c>
      <c r="G154" s="3">
        <v>2026.0</v>
      </c>
    </row>
    <row r="155" ht="15.75" customHeight="1">
      <c r="A155" s="3">
        <v>4.9888483E7</v>
      </c>
      <c r="B155" s="4" t="s">
        <v>73</v>
      </c>
      <c r="C155" s="4" t="s">
        <v>74</v>
      </c>
      <c r="D155" s="5">
        <v>46064.0</v>
      </c>
      <c r="E155" s="3" t="str">
        <f t="shared" si="1"/>
        <v>Wednesday</v>
      </c>
      <c r="F155" s="4" t="str">
        <f t="shared" si="2"/>
        <v>February</v>
      </c>
      <c r="G155" s="3">
        <v>2026.0</v>
      </c>
    </row>
    <row r="156" ht="15.75" customHeight="1">
      <c r="A156" s="3">
        <v>4.8431441E7</v>
      </c>
      <c r="B156" s="4" t="s">
        <v>55</v>
      </c>
      <c r="C156" s="4" t="s">
        <v>56</v>
      </c>
      <c r="D156" s="5">
        <v>46023.0</v>
      </c>
      <c r="E156" s="3" t="str">
        <f t="shared" si="1"/>
        <v>Thursday</v>
      </c>
      <c r="F156" s="4" t="str">
        <f t="shared" si="2"/>
        <v>January</v>
      </c>
      <c r="G156" s="3">
        <v>2026.0</v>
      </c>
    </row>
    <row r="157" ht="15.75" customHeight="1">
      <c r="A157" s="3">
        <v>4.9298812E7</v>
      </c>
      <c r="B157" s="4" t="s">
        <v>154</v>
      </c>
      <c r="C157" s="4" t="s">
        <v>155</v>
      </c>
      <c r="D157" s="5">
        <v>46053.0</v>
      </c>
      <c r="E157" s="3" t="str">
        <f t="shared" si="1"/>
        <v>Saturday</v>
      </c>
      <c r="F157" s="4" t="str">
        <f t="shared" si="2"/>
        <v>January</v>
      </c>
      <c r="G157" s="3">
        <v>2026.0</v>
      </c>
    </row>
    <row r="158" ht="15.75" customHeight="1">
      <c r="A158" s="3">
        <v>4.9298811E7</v>
      </c>
      <c r="B158" s="4" t="s">
        <v>29</v>
      </c>
      <c r="C158" s="4" t="s">
        <v>30</v>
      </c>
      <c r="D158" s="5">
        <v>46053.0</v>
      </c>
      <c r="E158" s="3" t="str">
        <f t="shared" si="1"/>
        <v>Saturday</v>
      </c>
      <c r="F158" s="4" t="str">
        <f t="shared" si="2"/>
        <v>January</v>
      </c>
      <c r="G158" s="3">
        <v>2026.0</v>
      </c>
    </row>
    <row r="159" ht="15.75" customHeight="1">
      <c r="A159" s="3">
        <v>4.8675299E7</v>
      </c>
      <c r="B159" s="4" t="s">
        <v>73</v>
      </c>
      <c r="C159" s="4" t="s">
        <v>74</v>
      </c>
      <c r="D159" s="5">
        <v>46038.0</v>
      </c>
      <c r="E159" s="3" t="str">
        <f t="shared" si="1"/>
        <v>Friday</v>
      </c>
      <c r="F159" s="4" t="str">
        <f t="shared" si="2"/>
        <v>January</v>
      </c>
      <c r="G159" s="3">
        <v>2026.0</v>
      </c>
    </row>
    <row r="160" ht="15.75" customHeight="1">
      <c r="A160" s="3">
        <v>4.9648315E7</v>
      </c>
      <c r="B160" s="4" t="s">
        <v>43</v>
      </c>
      <c r="C160" s="4" t="s">
        <v>44</v>
      </c>
      <c r="D160" s="5">
        <v>46060.0</v>
      </c>
      <c r="E160" s="3" t="str">
        <f t="shared" si="1"/>
        <v>Saturday</v>
      </c>
      <c r="F160" s="4" t="str">
        <f t="shared" si="2"/>
        <v>February</v>
      </c>
      <c r="G160" s="3">
        <v>2026.0</v>
      </c>
    </row>
    <row r="161" ht="15.75" customHeight="1">
      <c r="A161" s="3">
        <v>4.8435979E7</v>
      </c>
      <c r="B161" s="4" t="s">
        <v>156</v>
      </c>
      <c r="C161" s="4" t="s">
        <v>157</v>
      </c>
      <c r="D161" s="5">
        <v>46025.0</v>
      </c>
      <c r="E161" s="3" t="str">
        <f t="shared" si="1"/>
        <v>Saturday</v>
      </c>
      <c r="F161" s="4" t="str">
        <f t="shared" si="2"/>
        <v>January</v>
      </c>
      <c r="G161" s="3">
        <v>2026.0</v>
      </c>
    </row>
    <row r="162" ht="15.75" customHeight="1">
      <c r="A162" s="3">
        <v>4.8431194E7</v>
      </c>
      <c r="B162" s="4" t="s">
        <v>55</v>
      </c>
      <c r="C162" s="4" t="s">
        <v>56</v>
      </c>
      <c r="D162" s="5">
        <v>46023.0</v>
      </c>
      <c r="E162" s="3" t="str">
        <f t="shared" si="1"/>
        <v>Thursday</v>
      </c>
      <c r="F162" s="4" t="str">
        <f t="shared" si="2"/>
        <v>January</v>
      </c>
      <c r="G162" s="3">
        <v>2026.0</v>
      </c>
    </row>
    <row r="163" ht="15.75" customHeight="1">
      <c r="A163" s="3">
        <v>4.8903695E7</v>
      </c>
      <c r="B163" s="4" t="s">
        <v>158</v>
      </c>
      <c r="C163" s="4" t="s">
        <v>159</v>
      </c>
      <c r="D163" s="5">
        <v>46048.0</v>
      </c>
      <c r="E163" s="3" t="str">
        <f t="shared" si="1"/>
        <v>Monday</v>
      </c>
      <c r="F163" s="4" t="str">
        <f t="shared" si="2"/>
        <v>January</v>
      </c>
      <c r="G163" s="3">
        <v>2026.0</v>
      </c>
    </row>
    <row r="164" ht="15.75" customHeight="1">
      <c r="A164" s="3">
        <v>4.8748041E7</v>
      </c>
      <c r="B164" s="4" t="s">
        <v>59</v>
      </c>
      <c r="C164" s="4" t="s">
        <v>60</v>
      </c>
      <c r="D164" s="5">
        <v>46045.0</v>
      </c>
      <c r="E164" s="3" t="str">
        <f t="shared" si="1"/>
        <v>Friday</v>
      </c>
      <c r="F164" s="4" t="str">
        <f t="shared" si="2"/>
        <v>January</v>
      </c>
      <c r="G164" s="3">
        <v>2026.0</v>
      </c>
    </row>
    <row r="165" ht="15.75" customHeight="1">
      <c r="A165" s="3">
        <v>4.874694E7</v>
      </c>
      <c r="B165" s="4" t="s">
        <v>160</v>
      </c>
      <c r="C165" s="4" t="s">
        <v>161</v>
      </c>
      <c r="D165" s="5">
        <v>46044.0</v>
      </c>
      <c r="E165" s="3" t="str">
        <f t="shared" si="1"/>
        <v>Thursday</v>
      </c>
      <c r="F165" s="4" t="str">
        <f t="shared" si="2"/>
        <v>January</v>
      </c>
      <c r="G165" s="3">
        <v>2026.0</v>
      </c>
    </row>
    <row r="166" ht="15.75" customHeight="1">
      <c r="A166" s="3">
        <v>5.0326223E7</v>
      </c>
      <c r="B166" s="4" t="s">
        <v>59</v>
      </c>
      <c r="C166" s="4" t="s">
        <v>60</v>
      </c>
      <c r="D166" s="5">
        <v>46075.0</v>
      </c>
      <c r="E166" s="3" t="str">
        <f t="shared" si="1"/>
        <v>Sunday</v>
      </c>
      <c r="F166" s="4" t="str">
        <f t="shared" si="2"/>
        <v>February</v>
      </c>
      <c r="G166" s="3">
        <v>2026.0</v>
      </c>
    </row>
    <row r="167" ht="15.75" customHeight="1">
      <c r="A167" s="3">
        <v>5.0343345E7</v>
      </c>
      <c r="B167" s="4" t="s">
        <v>162</v>
      </c>
      <c r="D167" s="5">
        <v>46075.0</v>
      </c>
      <c r="E167" s="3" t="str">
        <f t="shared" si="1"/>
        <v>Sunday</v>
      </c>
      <c r="F167" s="4" t="str">
        <f t="shared" si="2"/>
        <v>February</v>
      </c>
      <c r="G167" s="3">
        <v>2026.0</v>
      </c>
    </row>
    <row r="168" ht="15.75" customHeight="1">
      <c r="A168" s="3">
        <v>5.0356991E7</v>
      </c>
      <c r="B168" s="4" t="s">
        <v>163</v>
      </c>
      <c r="C168" s="4" t="s">
        <v>164</v>
      </c>
      <c r="D168" s="5">
        <v>46077.0</v>
      </c>
      <c r="E168" s="3" t="str">
        <f t="shared" si="1"/>
        <v>Tuesday</v>
      </c>
      <c r="F168" s="4" t="str">
        <f t="shared" si="2"/>
        <v>February</v>
      </c>
      <c r="G168" s="3">
        <v>2026.0</v>
      </c>
    </row>
    <row r="169" ht="15.75" customHeight="1">
      <c r="A169" s="3">
        <v>4.868173E7</v>
      </c>
      <c r="B169" s="4" t="s">
        <v>39</v>
      </c>
      <c r="C169" s="4" t="s">
        <v>40</v>
      </c>
      <c r="D169" s="5">
        <v>46039.0</v>
      </c>
      <c r="E169" s="3" t="str">
        <f t="shared" si="1"/>
        <v>Saturday</v>
      </c>
      <c r="F169" s="4" t="str">
        <f t="shared" si="2"/>
        <v>January</v>
      </c>
      <c r="G169" s="3">
        <v>2026.0</v>
      </c>
    </row>
    <row r="170" ht="15.75" customHeight="1">
      <c r="A170" s="3">
        <v>4.871317E7</v>
      </c>
      <c r="B170" s="4" t="s">
        <v>105</v>
      </c>
      <c r="D170" s="5">
        <v>46041.0</v>
      </c>
      <c r="E170" s="3" t="str">
        <f t="shared" si="1"/>
        <v>Monday</v>
      </c>
      <c r="F170" s="4" t="str">
        <f t="shared" si="2"/>
        <v>January</v>
      </c>
      <c r="G170" s="3">
        <v>2026.0</v>
      </c>
    </row>
    <row r="171" ht="15.75" customHeight="1">
      <c r="A171" s="3">
        <v>4.8431461E7</v>
      </c>
      <c r="B171" s="4" t="s">
        <v>55</v>
      </c>
      <c r="C171" s="4" t="s">
        <v>56</v>
      </c>
      <c r="D171" s="5">
        <v>46023.0</v>
      </c>
      <c r="E171" s="3" t="str">
        <f t="shared" si="1"/>
        <v>Thursday</v>
      </c>
      <c r="F171" s="4" t="str">
        <f t="shared" si="2"/>
        <v>January</v>
      </c>
      <c r="G171" s="3">
        <v>2026.0</v>
      </c>
    </row>
    <row r="172" ht="15.75" customHeight="1">
      <c r="A172" s="3">
        <v>4.9305141E7</v>
      </c>
      <c r="B172" s="4" t="s">
        <v>51</v>
      </c>
      <c r="C172" s="4" t="s">
        <v>52</v>
      </c>
      <c r="D172" s="5">
        <v>46053.0</v>
      </c>
      <c r="E172" s="3" t="str">
        <f t="shared" si="1"/>
        <v>Saturday</v>
      </c>
      <c r="F172" s="4" t="str">
        <f t="shared" si="2"/>
        <v>January</v>
      </c>
      <c r="G172" s="3">
        <v>2026.0</v>
      </c>
    </row>
    <row r="173" ht="15.75" customHeight="1">
      <c r="A173" s="3">
        <v>4.8431464E7</v>
      </c>
      <c r="B173" s="4" t="s">
        <v>165</v>
      </c>
      <c r="C173" s="4" t="s">
        <v>166</v>
      </c>
      <c r="D173" s="5">
        <v>46024.0</v>
      </c>
      <c r="E173" s="3" t="str">
        <f t="shared" si="1"/>
        <v>Friday</v>
      </c>
      <c r="F173" s="4" t="str">
        <f t="shared" si="2"/>
        <v>January</v>
      </c>
      <c r="G173" s="3">
        <v>2026.0</v>
      </c>
    </row>
    <row r="174" ht="15.75" customHeight="1">
      <c r="A174" s="3">
        <v>4.9410292E7</v>
      </c>
      <c r="B174" s="4" t="s">
        <v>79</v>
      </c>
      <c r="C174" s="4" t="s">
        <v>80</v>
      </c>
      <c r="D174" s="5">
        <v>46056.0</v>
      </c>
      <c r="E174" s="3" t="str">
        <f t="shared" si="1"/>
        <v>Tuesday</v>
      </c>
      <c r="F174" s="4" t="str">
        <f t="shared" si="2"/>
        <v>February</v>
      </c>
      <c r="G174" s="3">
        <v>2026.0</v>
      </c>
    </row>
    <row r="175" ht="15.75" customHeight="1">
      <c r="A175" s="3">
        <v>4.8435985E7</v>
      </c>
      <c r="B175" s="4" t="s">
        <v>167</v>
      </c>
      <c r="C175" s="4" t="s">
        <v>168</v>
      </c>
      <c r="D175" s="5">
        <v>46025.0</v>
      </c>
      <c r="E175" s="3" t="str">
        <f t="shared" si="1"/>
        <v>Saturday</v>
      </c>
      <c r="F175" s="4" t="str">
        <f t="shared" si="2"/>
        <v>January</v>
      </c>
      <c r="G175" s="3">
        <v>2026.0</v>
      </c>
    </row>
    <row r="176" ht="15.75" customHeight="1">
      <c r="A176" s="3">
        <v>4.972451E7</v>
      </c>
      <c r="B176" s="4" t="s">
        <v>169</v>
      </c>
      <c r="C176" s="4" t="s">
        <v>170</v>
      </c>
      <c r="D176" s="5">
        <v>46056.0</v>
      </c>
      <c r="E176" s="3" t="str">
        <f t="shared" si="1"/>
        <v>Tuesday</v>
      </c>
      <c r="F176" s="4" t="str">
        <f t="shared" si="2"/>
        <v>February</v>
      </c>
      <c r="G176" s="3">
        <v>2026.0</v>
      </c>
    </row>
    <row r="177" ht="15.75" customHeight="1">
      <c r="A177" s="3">
        <v>4.9513092E7</v>
      </c>
      <c r="B177" s="4" t="s">
        <v>171</v>
      </c>
      <c r="C177" s="4" t="s">
        <v>172</v>
      </c>
      <c r="D177" s="5">
        <v>46057.0</v>
      </c>
      <c r="E177" s="3" t="str">
        <f t="shared" si="1"/>
        <v>Wednesday</v>
      </c>
      <c r="F177" s="4" t="str">
        <f t="shared" si="2"/>
        <v>February</v>
      </c>
      <c r="G177" s="3">
        <v>2026.0</v>
      </c>
    </row>
    <row r="178" ht="15.75" customHeight="1">
      <c r="A178" s="3">
        <v>4.9724498E7</v>
      </c>
      <c r="B178" s="4" t="s">
        <v>79</v>
      </c>
      <c r="C178" s="4" t="s">
        <v>80</v>
      </c>
      <c r="D178" s="5">
        <v>46050.0</v>
      </c>
      <c r="E178" s="3" t="str">
        <f t="shared" si="1"/>
        <v>Wednesday</v>
      </c>
      <c r="F178" s="4" t="str">
        <f t="shared" si="2"/>
        <v>January</v>
      </c>
      <c r="G178" s="3">
        <v>2026.0</v>
      </c>
    </row>
    <row r="179" ht="15.75" customHeight="1">
      <c r="A179" s="3">
        <v>4.8435984E7</v>
      </c>
      <c r="B179" s="4" t="s">
        <v>173</v>
      </c>
      <c r="C179" s="4" t="s">
        <v>174</v>
      </c>
      <c r="D179" s="5">
        <v>46025.0</v>
      </c>
      <c r="E179" s="3" t="str">
        <f t="shared" si="1"/>
        <v>Saturday</v>
      </c>
      <c r="F179" s="4" t="str">
        <f t="shared" si="2"/>
        <v>January</v>
      </c>
      <c r="G179" s="3">
        <v>2026.0</v>
      </c>
    </row>
    <row r="180" ht="15.75" customHeight="1">
      <c r="A180" s="3">
        <v>4.9889538E7</v>
      </c>
      <c r="B180" s="4" t="s">
        <v>43</v>
      </c>
      <c r="C180" s="4" t="s">
        <v>44</v>
      </c>
      <c r="D180" s="5">
        <v>46064.0</v>
      </c>
      <c r="E180" s="3" t="str">
        <f t="shared" si="1"/>
        <v>Wednesday</v>
      </c>
      <c r="F180" s="4" t="str">
        <f t="shared" si="2"/>
        <v>February</v>
      </c>
      <c r="G180" s="3">
        <v>2026.0</v>
      </c>
    </row>
    <row r="181" ht="15.75" customHeight="1">
      <c r="A181" s="3">
        <v>4.8601129E7</v>
      </c>
      <c r="B181" s="4" t="s">
        <v>175</v>
      </c>
      <c r="C181" s="4" t="s">
        <v>176</v>
      </c>
      <c r="D181" s="5">
        <v>46030.0</v>
      </c>
      <c r="E181" s="3" t="str">
        <f t="shared" si="1"/>
        <v>Thursday</v>
      </c>
      <c r="F181" s="4" t="str">
        <f t="shared" si="2"/>
        <v>January</v>
      </c>
      <c r="G181" s="3">
        <v>2026.0</v>
      </c>
    </row>
    <row r="182" ht="15.75" customHeight="1">
      <c r="A182" s="3">
        <v>4.8912824E7</v>
      </c>
      <c r="B182" s="4" t="s">
        <v>169</v>
      </c>
      <c r="C182" s="4" t="s">
        <v>170</v>
      </c>
      <c r="D182" s="5">
        <v>46048.0</v>
      </c>
      <c r="E182" s="3" t="str">
        <f t="shared" si="1"/>
        <v>Monday</v>
      </c>
      <c r="F182" s="4" t="str">
        <f t="shared" si="2"/>
        <v>January</v>
      </c>
      <c r="G182" s="3">
        <v>2026.0</v>
      </c>
    </row>
    <row r="183" ht="15.75" customHeight="1">
      <c r="A183" s="3">
        <v>4.9250013E7</v>
      </c>
      <c r="B183" s="4" t="s">
        <v>110</v>
      </c>
      <c r="C183" s="4" t="s">
        <v>111</v>
      </c>
      <c r="D183" s="5">
        <v>46051.0</v>
      </c>
      <c r="E183" s="3" t="str">
        <f t="shared" si="1"/>
        <v>Thursday</v>
      </c>
      <c r="F183" s="4" t="str">
        <f t="shared" si="2"/>
        <v>January</v>
      </c>
      <c r="G183" s="3">
        <v>2026.0</v>
      </c>
    </row>
    <row r="184" ht="15.75" customHeight="1">
      <c r="A184" s="3">
        <v>4.8790441E7</v>
      </c>
      <c r="B184" s="4" t="s">
        <v>177</v>
      </c>
      <c r="C184" s="4" t="s">
        <v>178</v>
      </c>
      <c r="D184" s="5">
        <v>46046.0</v>
      </c>
      <c r="E184" s="3" t="str">
        <f t="shared" si="1"/>
        <v>Saturday</v>
      </c>
      <c r="F184" s="4" t="str">
        <f t="shared" si="2"/>
        <v>January</v>
      </c>
      <c r="G184" s="3">
        <v>2026.0</v>
      </c>
    </row>
    <row r="185" ht="15.75" customHeight="1">
      <c r="A185" s="3">
        <v>5.0032494E7</v>
      </c>
      <c r="B185" s="4" t="s">
        <v>134</v>
      </c>
      <c r="C185" s="4" t="s">
        <v>135</v>
      </c>
      <c r="D185" s="5">
        <v>46068.0</v>
      </c>
      <c r="E185" s="3" t="str">
        <f t="shared" si="1"/>
        <v>Sunday</v>
      </c>
      <c r="F185" s="4" t="str">
        <f t="shared" si="2"/>
        <v>February</v>
      </c>
      <c r="G185" s="3">
        <v>2026.0</v>
      </c>
    </row>
    <row r="186" ht="15.75" customHeight="1">
      <c r="A186" s="3">
        <v>4.9961957E7</v>
      </c>
      <c r="B186" s="4" t="s">
        <v>118</v>
      </c>
      <c r="C186" s="4" t="s">
        <v>119</v>
      </c>
      <c r="D186" s="5">
        <v>46065.0</v>
      </c>
      <c r="E186" s="3" t="str">
        <f t="shared" si="1"/>
        <v>Thursday</v>
      </c>
      <c r="F186" s="4" t="str">
        <f t="shared" si="2"/>
        <v>February</v>
      </c>
      <c r="G186" s="3">
        <v>2026.0</v>
      </c>
    </row>
    <row r="187" ht="15.75" customHeight="1">
      <c r="A187" s="3">
        <v>4.9961929E7</v>
      </c>
      <c r="B187" s="4" t="s">
        <v>61</v>
      </c>
      <c r="C187" s="4" t="s">
        <v>62</v>
      </c>
      <c r="D187" s="5">
        <v>46065.0</v>
      </c>
      <c r="E187" s="3" t="str">
        <f t="shared" si="1"/>
        <v>Thursday</v>
      </c>
      <c r="F187" s="4" t="str">
        <f t="shared" si="2"/>
        <v>February</v>
      </c>
      <c r="G187" s="3">
        <v>2026.0</v>
      </c>
    </row>
    <row r="188" ht="15.75" customHeight="1">
      <c r="A188" s="3">
        <v>5.0032452E7</v>
      </c>
      <c r="B188" s="4" t="s">
        <v>31</v>
      </c>
      <c r="C188" s="4" t="s">
        <v>32</v>
      </c>
      <c r="D188" s="5">
        <v>46068.0</v>
      </c>
      <c r="E188" s="3" t="str">
        <f t="shared" si="1"/>
        <v>Sunday</v>
      </c>
      <c r="F188" s="4" t="str">
        <f t="shared" si="2"/>
        <v>February</v>
      </c>
      <c r="G188" s="3">
        <v>2026.0</v>
      </c>
    </row>
    <row r="189" ht="15.75" customHeight="1">
      <c r="A189" s="3">
        <v>5.0032419E7</v>
      </c>
      <c r="B189" s="4" t="s">
        <v>43</v>
      </c>
      <c r="C189" s="4" t="s">
        <v>44</v>
      </c>
      <c r="D189" s="5">
        <v>46068.0</v>
      </c>
      <c r="E189" s="3" t="str">
        <f t="shared" si="1"/>
        <v>Sunday</v>
      </c>
      <c r="F189" s="4" t="str">
        <f t="shared" si="2"/>
        <v>February</v>
      </c>
      <c r="G189" s="3">
        <v>2026.0</v>
      </c>
    </row>
    <row r="190" ht="15.75" customHeight="1">
      <c r="A190" s="3">
        <v>4.9395328E7</v>
      </c>
      <c r="B190" s="4" t="s">
        <v>79</v>
      </c>
      <c r="C190" s="4" t="s">
        <v>80</v>
      </c>
      <c r="D190" s="5">
        <v>46053.0</v>
      </c>
      <c r="E190" s="3" t="str">
        <f t="shared" si="1"/>
        <v>Saturday</v>
      </c>
      <c r="F190" s="4" t="str">
        <f t="shared" si="2"/>
        <v>January</v>
      </c>
      <c r="G190" s="3">
        <v>2026.0</v>
      </c>
    </row>
    <row r="191" ht="15.75" customHeight="1">
      <c r="A191" s="3">
        <v>4.9671642E7</v>
      </c>
      <c r="B191" s="4" t="s">
        <v>7</v>
      </c>
      <c r="C191" s="4" t="s">
        <v>8</v>
      </c>
      <c r="D191" s="5">
        <v>46062.0</v>
      </c>
      <c r="E191" s="3" t="str">
        <f t="shared" si="1"/>
        <v>Monday</v>
      </c>
      <c r="F191" s="4" t="str">
        <f t="shared" si="2"/>
        <v>February</v>
      </c>
      <c r="G191" s="3">
        <v>2026.0</v>
      </c>
    </row>
    <row r="192" ht="15.75" customHeight="1">
      <c r="A192" s="3">
        <v>5.0031443E7</v>
      </c>
      <c r="B192" s="4" t="s">
        <v>25</v>
      </c>
      <c r="C192" s="4" t="s">
        <v>26</v>
      </c>
      <c r="D192" s="5">
        <v>46067.0</v>
      </c>
      <c r="E192" s="3" t="str">
        <f t="shared" si="1"/>
        <v>Saturday</v>
      </c>
      <c r="F192" s="4" t="str">
        <f t="shared" si="2"/>
        <v>February</v>
      </c>
      <c r="G192" s="3">
        <v>2026.0</v>
      </c>
    </row>
    <row r="193" ht="15.75" customHeight="1">
      <c r="A193" s="3">
        <v>4.9888209E7</v>
      </c>
      <c r="B193" s="4" t="s">
        <v>43</v>
      </c>
      <c r="C193" s="4" t="s">
        <v>44</v>
      </c>
      <c r="D193" s="5">
        <v>46064.0</v>
      </c>
      <c r="E193" s="3" t="str">
        <f t="shared" si="1"/>
        <v>Wednesday</v>
      </c>
      <c r="F193" s="4" t="str">
        <f t="shared" si="2"/>
        <v>February</v>
      </c>
      <c r="G193" s="3">
        <v>2026.0</v>
      </c>
    </row>
    <row r="194" ht="15.75" customHeight="1">
      <c r="A194" s="3">
        <v>5.0023781E7</v>
      </c>
      <c r="B194" s="4" t="s">
        <v>31</v>
      </c>
      <c r="C194" s="4" t="s">
        <v>32</v>
      </c>
      <c r="D194" s="5">
        <v>46066.0</v>
      </c>
      <c r="E194" s="3" t="str">
        <f t="shared" si="1"/>
        <v>Friday</v>
      </c>
      <c r="F194" s="4" t="str">
        <f t="shared" si="2"/>
        <v>February</v>
      </c>
      <c r="G194" s="3">
        <v>2026.0</v>
      </c>
    </row>
    <row r="195" ht="15.75" customHeight="1">
      <c r="A195" s="3">
        <v>4.9724506E7</v>
      </c>
      <c r="B195" s="4" t="s">
        <v>27</v>
      </c>
      <c r="C195" s="4" t="s">
        <v>28</v>
      </c>
      <c r="D195" s="5">
        <v>46052.0</v>
      </c>
      <c r="E195" s="3" t="str">
        <f t="shared" si="1"/>
        <v>Friday</v>
      </c>
      <c r="F195" s="4" t="str">
        <f t="shared" si="2"/>
        <v>January</v>
      </c>
      <c r="G195" s="3">
        <v>2026.0</v>
      </c>
    </row>
    <row r="196" ht="15.75" customHeight="1">
      <c r="A196" s="3">
        <v>4.9304149E7</v>
      </c>
      <c r="B196" s="4" t="s">
        <v>118</v>
      </c>
      <c r="C196" s="4" t="s">
        <v>119</v>
      </c>
      <c r="D196" s="5">
        <v>46054.0</v>
      </c>
      <c r="E196" s="3" t="str">
        <f t="shared" si="1"/>
        <v>Sunday</v>
      </c>
      <c r="F196" s="4" t="str">
        <f t="shared" si="2"/>
        <v>February</v>
      </c>
      <c r="G196" s="3">
        <v>2026.0</v>
      </c>
    </row>
    <row r="197" ht="15.75" customHeight="1">
      <c r="A197" s="3">
        <v>4.871239E7</v>
      </c>
      <c r="B197" s="4" t="s">
        <v>179</v>
      </c>
      <c r="C197" s="4" t="s">
        <v>123</v>
      </c>
      <c r="D197" s="5">
        <v>46041.0</v>
      </c>
      <c r="E197" s="3" t="str">
        <f t="shared" si="1"/>
        <v>Monday</v>
      </c>
      <c r="F197" s="4" t="str">
        <f t="shared" si="2"/>
        <v>January</v>
      </c>
      <c r="G197" s="3">
        <v>2026.0</v>
      </c>
    </row>
    <row r="198" ht="15.75" customHeight="1">
      <c r="A198" s="3">
        <v>4.9671634E7</v>
      </c>
      <c r="B198" s="4" t="s">
        <v>69</v>
      </c>
      <c r="C198" s="4" t="s">
        <v>70</v>
      </c>
      <c r="D198" s="5">
        <v>46062.0</v>
      </c>
      <c r="E198" s="3" t="str">
        <f t="shared" si="1"/>
        <v>Monday</v>
      </c>
      <c r="F198" s="4" t="str">
        <f t="shared" si="2"/>
        <v>February</v>
      </c>
      <c r="G198" s="3">
        <v>2026.0</v>
      </c>
    </row>
    <row r="199" ht="15.75" customHeight="1">
      <c r="A199" s="3">
        <v>4.9397349E7</v>
      </c>
      <c r="B199" s="4" t="s">
        <v>73</v>
      </c>
      <c r="C199" s="4" t="s">
        <v>74</v>
      </c>
      <c r="D199" s="5">
        <v>46056.0</v>
      </c>
      <c r="E199" s="3" t="str">
        <f t="shared" si="1"/>
        <v>Tuesday</v>
      </c>
      <c r="F199" s="4" t="str">
        <f t="shared" si="2"/>
        <v>February</v>
      </c>
      <c r="G199" s="3">
        <v>2026.0</v>
      </c>
    </row>
    <row r="200" ht="15.75" customHeight="1">
      <c r="A200" s="3">
        <v>4.9888207E7</v>
      </c>
      <c r="B200" s="4" t="s">
        <v>98</v>
      </c>
      <c r="C200" s="4" t="s">
        <v>99</v>
      </c>
      <c r="D200" s="5">
        <v>46064.0</v>
      </c>
      <c r="E200" s="3" t="str">
        <f t="shared" si="1"/>
        <v>Wednesday</v>
      </c>
      <c r="F200" s="4" t="str">
        <f t="shared" si="2"/>
        <v>February</v>
      </c>
      <c r="G200" s="3">
        <v>2026.0</v>
      </c>
    </row>
    <row r="201" ht="15.75" customHeight="1">
      <c r="A201" s="3">
        <v>4.8642286E7</v>
      </c>
      <c r="B201" s="4" t="s">
        <v>180</v>
      </c>
      <c r="C201" s="4" t="s">
        <v>181</v>
      </c>
      <c r="D201" s="5">
        <v>46035.0</v>
      </c>
      <c r="E201" s="3" t="str">
        <f t="shared" si="1"/>
        <v>Tuesday</v>
      </c>
      <c r="F201" s="4" t="str">
        <f t="shared" si="2"/>
        <v>January</v>
      </c>
      <c r="G201" s="3">
        <v>2026.0</v>
      </c>
    </row>
    <row r="202" ht="15.75" customHeight="1">
      <c r="A202" s="3">
        <v>4.9885944E7</v>
      </c>
      <c r="B202" s="4" t="s">
        <v>182</v>
      </c>
      <c r="C202" s="4" t="s">
        <v>183</v>
      </c>
      <c r="D202" s="5">
        <v>46038.0</v>
      </c>
      <c r="E202" s="3" t="str">
        <f t="shared" si="1"/>
        <v>Friday</v>
      </c>
      <c r="F202" s="4" t="str">
        <f t="shared" si="2"/>
        <v>January</v>
      </c>
      <c r="G202" s="3">
        <v>2026.0</v>
      </c>
    </row>
    <row r="203" ht="15.75" customHeight="1">
      <c r="A203" s="3">
        <v>4.8903693E7</v>
      </c>
      <c r="B203" s="4" t="s">
        <v>31</v>
      </c>
      <c r="C203" s="4" t="s">
        <v>32</v>
      </c>
      <c r="D203" s="5">
        <v>46048.0</v>
      </c>
      <c r="E203" s="3" t="str">
        <f t="shared" si="1"/>
        <v>Monday</v>
      </c>
      <c r="F203" s="4" t="str">
        <f t="shared" si="2"/>
        <v>January</v>
      </c>
      <c r="G203" s="3">
        <v>2026.0</v>
      </c>
    </row>
    <row r="204" ht="15.75" customHeight="1">
      <c r="A204" s="3">
        <v>4.9396426E7</v>
      </c>
      <c r="B204" s="4" t="s">
        <v>184</v>
      </c>
      <c r="C204" s="4" t="s">
        <v>185</v>
      </c>
      <c r="D204" s="5">
        <v>46056.0</v>
      </c>
      <c r="E204" s="3" t="str">
        <f t="shared" si="1"/>
        <v>Tuesday</v>
      </c>
      <c r="F204" s="4" t="str">
        <f t="shared" si="2"/>
        <v>February</v>
      </c>
      <c r="G204" s="3">
        <v>2026.0</v>
      </c>
    </row>
    <row r="205" ht="15.75" customHeight="1">
      <c r="A205" s="3">
        <v>4.929892E7</v>
      </c>
      <c r="B205" s="4" t="s">
        <v>37</v>
      </c>
      <c r="C205" s="4" t="s">
        <v>38</v>
      </c>
      <c r="D205" s="5">
        <v>46053.0</v>
      </c>
      <c r="E205" s="3" t="str">
        <f t="shared" si="1"/>
        <v>Saturday</v>
      </c>
      <c r="F205" s="4" t="str">
        <f t="shared" si="2"/>
        <v>January</v>
      </c>
      <c r="G205" s="3">
        <v>2026.0</v>
      </c>
    </row>
    <row r="206" ht="15.75" customHeight="1">
      <c r="A206" s="3">
        <v>4.9303224E7</v>
      </c>
      <c r="B206" s="4" t="s">
        <v>108</v>
      </c>
      <c r="C206" s="4" t="s">
        <v>109</v>
      </c>
      <c r="D206" s="5">
        <v>46053.0</v>
      </c>
      <c r="E206" s="3" t="str">
        <f t="shared" si="1"/>
        <v>Saturday</v>
      </c>
      <c r="F206" s="4" t="str">
        <f t="shared" si="2"/>
        <v>January</v>
      </c>
      <c r="G206" s="3">
        <v>2026.0</v>
      </c>
    </row>
    <row r="207" ht="15.75" customHeight="1">
      <c r="A207" s="3">
        <v>5.0032035E7</v>
      </c>
      <c r="B207" s="4" t="s">
        <v>186</v>
      </c>
      <c r="C207" s="4" t="s">
        <v>187</v>
      </c>
      <c r="D207" s="5">
        <v>46068.0</v>
      </c>
      <c r="E207" s="3" t="str">
        <f t="shared" si="1"/>
        <v>Sunday</v>
      </c>
      <c r="F207" s="4" t="str">
        <f t="shared" si="2"/>
        <v>February</v>
      </c>
      <c r="G207" s="3">
        <v>2026.0</v>
      </c>
    </row>
    <row r="208" ht="15.75" customHeight="1">
      <c r="A208" s="3">
        <v>4.9517751E7</v>
      </c>
      <c r="B208" s="4" t="s">
        <v>188</v>
      </c>
      <c r="C208" s="4" t="s">
        <v>189</v>
      </c>
      <c r="D208" s="5">
        <v>46057.0</v>
      </c>
      <c r="E208" s="3" t="str">
        <f t="shared" si="1"/>
        <v>Wednesday</v>
      </c>
      <c r="F208" s="4" t="str">
        <f t="shared" si="2"/>
        <v>February</v>
      </c>
      <c r="G208" s="3">
        <v>2026.0</v>
      </c>
    </row>
    <row r="209" ht="15.75" customHeight="1">
      <c r="A209" s="3">
        <v>4.8628296E7</v>
      </c>
      <c r="B209" s="4" t="s">
        <v>190</v>
      </c>
      <c r="D209" s="5">
        <v>46032.0</v>
      </c>
      <c r="E209" s="3" t="str">
        <f t="shared" si="1"/>
        <v>Saturday</v>
      </c>
      <c r="F209" s="4" t="str">
        <f t="shared" si="2"/>
        <v>January</v>
      </c>
      <c r="G209" s="3">
        <v>2026.0</v>
      </c>
    </row>
    <row r="210" ht="15.75" customHeight="1">
      <c r="A210" s="3">
        <v>5.0010273E7</v>
      </c>
      <c r="B210" s="4" t="s">
        <v>43</v>
      </c>
      <c r="C210" s="4" t="s">
        <v>44</v>
      </c>
      <c r="D210" s="5">
        <v>46066.0</v>
      </c>
      <c r="E210" s="3" t="str">
        <f t="shared" si="1"/>
        <v>Friday</v>
      </c>
      <c r="F210" s="4" t="str">
        <f t="shared" si="2"/>
        <v>February</v>
      </c>
      <c r="G210" s="3">
        <v>2026.0</v>
      </c>
    </row>
    <row r="211" ht="15.75" customHeight="1">
      <c r="A211" s="3">
        <v>4.841282E7</v>
      </c>
      <c r="B211" s="4" t="s">
        <v>191</v>
      </c>
      <c r="C211" s="4" t="s">
        <v>192</v>
      </c>
      <c r="D211" s="5">
        <v>46023.0</v>
      </c>
      <c r="E211" s="3" t="str">
        <f t="shared" si="1"/>
        <v>Thursday</v>
      </c>
      <c r="F211" s="4" t="str">
        <f t="shared" si="2"/>
        <v>January</v>
      </c>
      <c r="G211" s="3">
        <v>2026.0</v>
      </c>
    </row>
    <row r="212" ht="15.75" customHeight="1">
      <c r="A212" s="3">
        <v>4.9303884E7</v>
      </c>
      <c r="B212" s="4" t="s">
        <v>7</v>
      </c>
      <c r="C212" s="4" t="s">
        <v>8</v>
      </c>
      <c r="D212" s="5">
        <v>46054.0</v>
      </c>
      <c r="E212" s="3" t="str">
        <f t="shared" si="1"/>
        <v>Sunday</v>
      </c>
      <c r="F212" s="4" t="str">
        <f t="shared" si="2"/>
        <v>February</v>
      </c>
      <c r="G212" s="3">
        <v>2026.0</v>
      </c>
    </row>
    <row r="213" ht="15.75" customHeight="1">
      <c r="A213" s="3">
        <v>4.8675298E7</v>
      </c>
      <c r="B213" s="4" t="s">
        <v>37</v>
      </c>
      <c r="C213" s="4" t="s">
        <v>38</v>
      </c>
      <c r="D213" s="5">
        <v>46038.0</v>
      </c>
      <c r="E213" s="3" t="str">
        <f t="shared" si="1"/>
        <v>Friday</v>
      </c>
      <c r="F213" s="4" t="str">
        <f t="shared" si="2"/>
        <v>January</v>
      </c>
      <c r="G213" s="3">
        <v>2026.0</v>
      </c>
    </row>
    <row r="214" ht="15.75" customHeight="1">
      <c r="A214" s="3">
        <v>4.8686469E7</v>
      </c>
      <c r="B214" s="4" t="s">
        <v>55</v>
      </c>
      <c r="C214" s="4" t="s">
        <v>56</v>
      </c>
      <c r="D214" s="5">
        <v>46038.0</v>
      </c>
      <c r="E214" s="3" t="str">
        <f t="shared" si="1"/>
        <v>Friday</v>
      </c>
      <c r="F214" s="4" t="str">
        <f t="shared" si="2"/>
        <v>January</v>
      </c>
      <c r="G214" s="3">
        <v>2026.0</v>
      </c>
    </row>
    <row r="215" ht="15.75" customHeight="1">
      <c r="A215" s="3">
        <v>4.9962481E7</v>
      </c>
      <c r="B215" s="4" t="s">
        <v>69</v>
      </c>
      <c r="C215" s="4" t="s">
        <v>70</v>
      </c>
      <c r="D215" s="5">
        <v>46065.0</v>
      </c>
      <c r="E215" s="3" t="str">
        <f t="shared" si="1"/>
        <v>Thursday</v>
      </c>
      <c r="F215" s="4" t="str">
        <f t="shared" si="2"/>
        <v>February</v>
      </c>
      <c r="G215" s="3">
        <v>2026.0</v>
      </c>
    </row>
    <row r="216" ht="15.75" customHeight="1">
      <c r="A216" s="3">
        <v>4.8720809E7</v>
      </c>
      <c r="B216" s="4" t="s">
        <v>59</v>
      </c>
      <c r="C216" s="4" t="s">
        <v>60</v>
      </c>
      <c r="D216" s="5">
        <v>46042.0</v>
      </c>
      <c r="E216" s="3" t="str">
        <f t="shared" si="1"/>
        <v>Tuesday</v>
      </c>
      <c r="F216" s="4" t="str">
        <f t="shared" si="2"/>
        <v>January</v>
      </c>
      <c r="G216" s="3">
        <v>2026.0</v>
      </c>
    </row>
    <row r="217" ht="15.75" customHeight="1">
      <c r="A217" s="3">
        <v>4.8995017E7</v>
      </c>
      <c r="B217" s="4" t="s">
        <v>7</v>
      </c>
      <c r="C217" s="4" t="s">
        <v>8</v>
      </c>
      <c r="D217" s="5">
        <v>46045.0</v>
      </c>
      <c r="E217" s="3" t="str">
        <f t="shared" si="1"/>
        <v>Friday</v>
      </c>
      <c r="F217" s="4" t="str">
        <f t="shared" si="2"/>
        <v>January</v>
      </c>
      <c r="G217" s="3">
        <v>2026.0</v>
      </c>
    </row>
    <row r="218" ht="15.75" customHeight="1">
      <c r="A218" s="3">
        <v>4.9962483E7</v>
      </c>
      <c r="B218" s="4" t="s">
        <v>193</v>
      </c>
      <c r="C218" s="4" t="s">
        <v>194</v>
      </c>
      <c r="D218" s="5">
        <v>46065.0</v>
      </c>
      <c r="E218" s="3" t="str">
        <f t="shared" si="1"/>
        <v>Thursday</v>
      </c>
      <c r="F218" s="4" t="str">
        <f t="shared" si="2"/>
        <v>February</v>
      </c>
      <c r="G218" s="3">
        <v>2026.0</v>
      </c>
    </row>
    <row r="219" ht="15.75" customHeight="1">
      <c r="A219" s="3">
        <v>4.9888236E7</v>
      </c>
      <c r="B219" s="4" t="s">
        <v>134</v>
      </c>
      <c r="C219" s="4" t="s">
        <v>135</v>
      </c>
      <c r="D219" s="5">
        <v>46064.0</v>
      </c>
      <c r="E219" s="3" t="str">
        <f t="shared" si="1"/>
        <v>Wednesday</v>
      </c>
      <c r="F219" s="4" t="str">
        <f t="shared" si="2"/>
        <v>February</v>
      </c>
      <c r="G219" s="3">
        <v>2026.0</v>
      </c>
    </row>
    <row r="220" ht="15.75" customHeight="1">
      <c r="A220" s="3">
        <v>4.9512975E7</v>
      </c>
      <c r="B220" s="4" t="s">
        <v>43</v>
      </c>
      <c r="C220" s="4" t="s">
        <v>44</v>
      </c>
      <c r="D220" s="5">
        <v>46057.0</v>
      </c>
      <c r="E220" s="3" t="str">
        <f t="shared" si="1"/>
        <v>Wednesday</v>
      </c>
      <c r="F220" s="4" t="str">
        <f t="shared" si="2"/>
        <v>February</v>
      </c>
      <c r="G220" s="3">
        <v>2026.0</v>
      </c>
    </row>
    <row r="221" ht="15.75" customHeight="1">
      <c r="A221" s="3">
        <v>4.9304164E7</v>
      </c>
      <c r="B221" s="4" t="s">
        <v>195</v>
      </c>
      <c r="C221" s="4" t="s">
        <v>196</v>
      </c>
      <c r="D221" s="5">
        <v>46054.0</v>
      </c>
      <c r="E221" s="3" t="str">
        <f t="shared" si="1"/>
        <v>Sunday</v>
      </c>
      <c r="F221" s="4" t="str">
        <f t="shared" si="2"/>
        <v>February</v>
      </c>
      <c r="G221" s="3">
        <v>2026.0</v>
      </c>
    </row>
    <row r="222" ht="15.75" customHeight="1">
      <c r="A222" s="3">
        <v>4.9724522E7</v>
      </c>
      <c r="B222" s="4" t="s">
        <v>85</v>
      </c>
      <c r="C222" s="4" t="s">
        <v>86</v>
      </c>
      <c r="D222" s="5">
        <v>46057.0</v>
      </c>
      <c r="E222" s="3" t="str">
        <f t="shared" si="1"/>
        <v>Wednesday</v>
      </c>
      <c r="F222" s="4" t="str">
        <f t="shared" si="2"/>
        <v>February</v>
      </c>
      <c r="G222" s="3">
        <v>2026.0</v>
      </c>
    </row>
    <row r="223" ht="15.75" customHeight="1">
      <c r="A223" s="3">
        <v>4.8722316E7</v>
      </c>
      <c r="B223" s="4" t="s">
        <v>75</v>
      </c>
      <c r="C223" s="4" t="s">
        <v>76</v>
      </c>
      <c r="D223" s="5">
        <v>46042.0</v>
      </c>
      <c r="E223" s="3" t="str">
        <f t="shared" si="1"/>
        <v>Tuesday</v>
      </c>
      <c r="F223" s="4" t="str">
        <f t="shared" si="2"/>
        <v>January</v>
      </c>
      <c r="G223" s="3">
        <v>2026.0</v>
      </c>
    </row>
    <row r="224" ht="15.75" customHeight="1">
      <c r="A224" s="3">
        <v>4.9030071E7</v>
      </c>
      <c r="B224" s="4" t="s">
        <v>29</v>
      </c>
      <c r="C224" s="4" t="s">
        <v>30</v>
      </c>
      <c r="D224" s="5">
        <v>46042.0</v>
      </c>
      <c r="E224" s="3" t="str">
        <f t="shared" si="1"/>
        <v>Tuesday</v>
      </c>
      <c r="F224" s="4" t="str">
        <f t="shared" si="2"/>
        <v>January</v>
      </c>
      <c r="G224" s="3">
        <v>2026.0</v>
      </c>
    </row>
    <row r="225" ht="15.75" customHeight="1">
      <c r="A225" s="3">
        <v>4.9724497E7</v>
      </c>
      <c r="B225" s="4" t="s">
        <v>29</v>
      </c>
      <c r="C225" s="4" t="s">
        <v>30</v>
      </c>
      <c r="D225" s="5">
        <v>46050.0</v>
      </c>
      <c r="E225" s="3" t="str">
        <f t="shared" si="1"/>
        <v>Wednesday</v>
      </c>
      <c r="F225" s="4" t="str">
        <f t="shared" si="2"/>
        <v>January</v>
      </c>
      <c r="G225" s="3">
        <v>2026.0</v>
      </c>
    </row>
    <row r="226" ht="15.75" customHeight="1">
      <c r="A226" s="3">
        <v>4.9030072E7</v>
      </c>
      <c r="B226" s="4" t="s">
        <v>73</v>
      </c>
      <c r="C226" s="4" t="s">
        <v>74</v>
      </c>
      <c r="D226" s="5">
        <v>46042.0</v>
      </c>
      <c r="E226" s="3" t="str">
        <f t="shared" si="1"/>
        <v>Tuesday</v>
      </c>
      <c r="F226" s="4" t="str">
        <f t="shared" si="2"/>
        <v>January</v>
      </c>
      <c r="G226" s="3">
        <v>2026.0</v>
      </c>
    </row>
    <row r="227" ht="15.75" customHeight="1">
      <c r="A227" s="3">
        <v>4.9249904E7</v>
      </c>
      <c r="B227" s="4" t="s">
        <v>89</v>
      </c>
      <c r="C227" s="4" t="s">
        <v>90</v>
      </c>
      <c r="D227" s="5">
        <v>46051.0</v>
      </c>
      <c r="E227" s="3" t="str">
        <f t="shared" si="1"/>
        <v>Thursday</v>
      </c>
      <c r="F227" s="4" t="str">
        <f t="shared" si="2"/>
        <v>January</v>
      </c>
      <c r="G227" s="3">
        <v>2026.0</v>
      </c>
    </row>
    <row r="228" ht="15.75" customHeight="1">
      <c r="A228" s="3">
        <v>5.0032491E7</v>
      </c>
      <c r="B228" s="4" t="s">
        <v>197</v>
      </c>
      <c r="C228" s="4" t="s">
        <v>198</v>
      </c>
      <c r="D228" s="5">
        <v>46068.0</v>
      </c>
      <c r="E228" s="3" t="str">
        <f t="shared" si="1"/>
        <v>Sunday</v>
      </c>
      <c r="F228" s="4" t="str">
        <f t="shared" si="2"/>
        <v>February</v>
      </c>
      <c r="G228" s="3">
        <v>2026.0</v>
      </c>
    </row>
    <row r="229" ht="15.75" customHeight="1">
      <c r="A229" s="3">
        <v>4.9303282E7</v>
      </c>
      <c r="B229" s="4" t="s">
        <v>51</v>
      </c>
      <c r="C229" s="4" t="s">
        <v>52</v>
      </c>
      <c r="D229" s="5">
        <v>46053.0</v>
      </c>
      <c r="E229" s="3" t="str">
        <f t="shared" si="1"/>
        <v>Saturday</v>
      </c>
      <c r="F229" s="4" t="str">
        <f t="shared" si="2"/>
        <v>January</v>
      </c>
      <c r="G229" s="3">
        <v>2026.0</v>
      </c>
    </row>
    <row r="230" ht="15.75" customHeight="1">
      <c r="A230" s="3">
        <v>4.9711747E7</v>
      </c>
      <c r="B230" s="4" t="s">
        <v>199</v>
      </c>
      <c r="D230" s="5">
        <v>46061.0</v>
      </c>
      <c r="E230" s="3" t="str">
        <f t="shared" si="1"/>
        <v>Sunday</v>
      </c>
      <c r="F230" s="4" t="str">
        <f t="shared" si="2"/>
        <v>February</v>
      </c>
      <c r="G230" s="3">
        <v>2026.0</v>
      </c>
    </row>
    <row r="231" ht="15.75" customHeight="1">
      <c r="A231" s="3">
        <v>4.9304147E7</v>
      </c>
      <c r="B231" s="4" t="s">
        <v>92</v>
      </c>
      <c r="C231" s="4" t="s">
        <v>93</v>
      </c>
      <c r="D231" s="5">
        <v>46054.0</v>
      </c>
      <c r="E231" s="3" t="str">
        <f t="shared" si="1"/>
        <v>Sunday</v>
      </c>
      <c r="F231" s="4" t="str">
        <f t="shared" si="2"/>
        <v>February</v>
      </c>
      <c r="G231" s="3">
        <v>2026.0</v>
      </c>
    </row>
    <row r="232" ht="15.75" customHeight="1">
      <c r="A232" s="3">
        <v>4.8629511E7</v>
      </c>
      <c r="B232" s="4" t="s">
        <v>200</v>
      </c>
      <c r="C232" s="4" t="s">
        <v>201</v>
      </c>
      <c r="D232" s="5">
        <v>46034.0</v>
      </c>
      <c r="E232" s="3" t="str">
        <f t="shared" si="1"/>
        <v>Monday</v>
      </c>
      <c r="F232" s="4" t="str">
        <f t="shared" si="2"/>
        <v>January</v>
      </c>
      <c r="G232" s="3">
        <v>2026.0</v>
      </c>
    </row>
    <row r="233" ht="15.75" customHeight="1">
      <c r="A233" s="3">
        <v>4.9303281E7</v>
      </c>
      <c r="B233" s="4" t="s">
        <v>75</v>
      </c>
      <c r="C233" s="4" t="s">
        <v>76</v>
      </c>
      <c r="D233" s="5">
        <v>46053.0</v>
      </c>
      <c r="E233" s="3" t="str">
        <f t="shared" si="1"/>
        <v>Saturday</v>
      </c>
      <c r="F233" s="4" t="str">
        <f t="shared" si="2"/>
        <v>January</v>
      </c>
      <c r="G233" s="3">
        <v>2026.0</v>
      </c>
    </row>
    <row r="234" ht="15.75" customHeight="1">
      <c r="A234" s="3">
        <v>4.8435981E7</v>
      </c>
      <c r="B234" s="4" t="s">
        <v>202</v>
      </c>
      <c r="C234" s="4" t="s">
        <v>203</v>
      </c>
      <c r="D234" s="5">
        <v>46025.0</v>
      </c>
      <c r="E234" s="3" t="str">
        <f t="shared" si="1"/>
        <v>Saturday</v>
      </c>
      <c r="F234" s="4" t="str">
        <f t="shared" si="2"/>
        <v>January</v>
      </c>
      <c r="G234" s="3">
        <v>2026.0</v>
      </c>
    </row>
    <row r="235" ht="15.75" customHeight="1">
      <c r="A235" s="3">
        <v>4.9889537E7</v>
      </c>
      <c r="B235" s="4" t="s">
        <v>31</v>
      </c>
      <c r="C235" s="4" t="s">
        <v>32</v>
      </c>
      <c r="D235" s="5">
        <v>46064.0</v>
      </c>
      <c r="E235" s="3" t="str">
        <f t="shared" si="1"/>
        <v>Wednesday</v>
      </c>
      <c r="F235" s="4" t="str">
        <f t="shared" si="2"/>
        <v>February</v>
      </c>
      <c r="G235" s="3">
        <v>2026.0</v>
      </c>
    </row>
    <row r="236" ht="15.75" customHeight="1">
      <c r="A236" s="3">
        <v>4.9962484E7</v>
      </c>
      <c r="B236" s="4" t="s">
        <v>7</v>
      </c>
      <c r="C236" s="4" t="s">
        <v>8</v>
      </c>
      <c r="D236" s="5">
        <v>46065.0</v>
      </c>
      <c r="E236" s="3" t="str">
        <f t="shared" si="1"/>
        <v>Thursday</v>
      </c>
      <c r="F236" s="4" t="str">
        <f t="shared" si="2"/>
        <v>February</v>
      </c>
      <c r="G236" s="3">
        <v>2026.0</v>
      </c>
    </row>
    <row r="237" ht="15.75" customHeight="1">
      <c r="A237" s="3">
        <v>4.8655035E7</v>
      </c>
      <c r="B237" s="4" t="s">
        <v>55</v>
      </c>
      <c r="C237" s="4" t="s">
        <v>56</v>
      </c>
      <c r="D237" s="5">
        <v>46032.0</v>
      </c>
      <c r="E237" s="3" t="str">
        <f t="shared" si="1"/>
        <v>Saturday</v>
      </c>
      <c r="F237" s="4" t="str">
        <f t="shared" si="2"/>
        <v>January</v>
      </c>
      <c r="G237" s="3">
        <v>2026.0</v>
      </c>
    </row>
    <row r="238" ht="15.75" customHeight="1">
      <c r="A238" s="3">
        <v>4.8654947E7</v>
      </c>
      <c r="B238" s="4" t="s">
        <v>55</v>
      </c>
      <c r="C238" s="4" t="s">
        <v>56</v>
      </c>
      <c r="D238" s="5">
        <v>46032.0</v>
      </c>
      <c r="E238" s="3" t="str">
        <f t="shared" si="1"/>
        <v>Saturday</v>
      </c>
      <c r="F238" s="4" t="str">
        <f t="shared" si="2"/>
        <v>January</v>
      </c>
      <c r="G238" s="3">
        <v>2026.0</v>
      </c>
    </row>
    <row r="239" ht="15.75" customHeight="1">
      <c r="A239" s="3">
        <v>4.866583E7</v>
      </c>
      <c r="B239" s="4" t="s">
        <v>21</v>
      </c>
      <c r="C239" s="4" t="s">
        <v>22</v>
      </c>
      <c r="D239" s="5">
        <v>46037.0</v>
      </c>
      <c r="E239" s="3" t="str">
        <f t="shared" si="1"/>
        <v>Thursday</v>
      </c>
      <c r="F239" s="4" t="str">
        <f t="shared" si="2"/>
        <v>January</v>
      </c>
      <c r="G239" s="3">
        <v>2026.0</v>
      </c>
    </row>
    <row r="240" ht="15.75" customHeight="1">
      <c r="A240" s="3">
        <v>4.929883E7</v>
      </c>
      <c r="B240" s="4" t="s">
        <v>130</v>
      </c>
      <c r="C240" s="4" t="s">
        <v>131</v>
      </c>
      <c r="D240" s="5">
        <v>46053.0</v>
      </c>
      <c r="E240" s="3" t="str">
        <f t="shared" si="1"/>
        <v>Saturday</v>
      </c>
      <c r="F240" s="4" t="str">
        <f t="shared" si="2"/>
        <v>January</v>
      </c>
      <c r="G240" s="3">
        <v>2026.0</v>
      </c>
    </row>
    <row r="241" ht="15.75" customHeight="1">
      <c r="A241" s="3">
        <v>4.9514956E7</v>
      </c>
      <c r="B241" s="4" t="s">
        <v>204</v>
      </c>
      <c r="C241" s="4" t="s">
        <v>205</v>
      </c>
      <c r="D241" s="5">
        <v>46057.0</v>
      </c>
      <c r="E241" s="3" t="str">
        <f t="shared" si="1"/>
        <v>Wednesday</v>
      </c>
      <c r="F241" s="4" t="str">
        <f t="shared" si="2"/>
        <v>February</v>
      </c>
      <c r="G241" s="3">
        <v>2026.0</v>
      </c>
    </row>
    <row r="242" ht="15.75" customHeight="1">
      <c r="A242" s="3">
        <v>4.9724524E7</v>
      </c>
      <c r="B242" s="4" t="s">
        <v>31</v>
      </c>
      <c r="C242" s="4" t="s">
        <v>32</v>
      </c>
      <c r="D242" s="5">
        <v>46057.0</v>
      </c>
      <c r="E242" s="3" t="str">
        <f t="shared" si="1"/>
        <v>Wednesday</v>
      </c>
      <c r="F242" s="4" t="str">
        <f t="shared" si="2"/>
        <v>February</v>
      </c>
      <c r="G242" s="3">
        <v>2026.0</v>
      </c>
    </row>
    <row r="243" ht="15.75" customHeight="1">
      <c r="A243" s="3">
        <v>4.8431517E7</v>
      </c>
      <c r="B243" s="4" t="s">
        <v>165</v>
      </c>
      <c r="C243" s="4" t="s">
        <v>166</v>
      </c>
      <c r="D243" s="5">
        <v>46024.0</v>
      </c>
      <c r="E243" s="3" t="str">
        <f t="shared" si="1"/>
        <v>Friday</v>
      </c>
      <c r="F243" s="4" t="str">
        <f t="shared" si="2"/>
        <v>January</v>
      </c>
      <c r="G243" s="3">
        <v>2026.0</v>
      </c>
    </row>
    <row r="244" ht="15.75" customHeight="1">
      <c r="A244" s="3">
        <v>4.8431655E7</v>
      </c>
      <c r="B244" s="4" t="s">
        <v>55</v>
      </c>
      <c r="C244" s="4" t="s">
        <v>56</v>
      </c>
      <c r="D244" s="5">
        <v>46023.0</v>
      </c>
      <c r="E244" s="3" t="str">
        <f t="shared" si="1"/>
        <v>Thursday</v>
      </c>
      <c r="F244" s="4" t="str">
        <f t="shared" si="2"/>
        <v>January</v>
      </c>
      <c r="G244" s="3">
        <v>2026.0</v>
      </c>
    </row>
    <row r="245" ht="15.75" customHeight="1">
      <c r="A245" s="3">
        <v>4.930386E7</v>
      </c>
      <c r="B245" s="4" t="s">
        <v>206</v>
      </c>
      <c r="C245" s="4" t="s">
        <v>207</v>
      </c>
      <c r="D245" s="5">
        <v>46054.0</v>
      </c>
      <c r="E245" s="3" t="str">
        <f t="shared" si="1"/>
        <v>Sunday</v>
      </c>
      <c r="F245" s="4" t="str">
        <f t="shared" si="2"/>
        <v>February</v>
      </c>
      <c r="G245" s="3">
        <v>2026.0</v>
      </c>
    </row>
    <row r="246" ht="15.75" customHeight="1">
      <c r="A246" s="3">
        <v>4.8665829E7</v>
      </c>
      <c r="B246" s="4" t="s">
        <v>152</v>
      </c>
      <c r="C246" s="4" t="s">
        <v>153</v>
      </c>
      <c r="D246" s="5">
        <v>46037.0</v>
      </c>
      <c r="E246" s="3" t="str">
        <f t="shared" si="1"/>
        <v>Thursday</v>
      </c>
      <c r="F246" s="4" t="str">
        <f t="shared" si="2"/>
        <v>January</v>
      </c>
      <c r="G246" s="3">
        <v>2026.0</v>
      </c>
    </row>
    <row r="247" ht="15.75" customHeight="1">
      <c r="A247" s="3">
        <v>4.9888482E7</v>
      </c>
      <c r="B247" s="4" t="s">
        <v>39</v>
      </c>
      <c r="C247" s="4" t="s">
        <v>40</v>
      </c>
      <c r="D247" s="5">
        <v>46064.0</v>
      </c>
      <c r="E247" s="3" t="str">
        <f t="shared" si="1"/>
        <v>Wednesday</v>
      </c>
      <c r="F247" s="4" t="str">
        <f t="shared" si="2"/>
        <v>February</v>
      </c>
      <c r="G247" s="3">
        <v>2026.0</v>
      </c>
    </row>
    <row r="248" ht="15.75" customHeight="1">
      <c r="A248" s="3">
        <v>4.9395896E7</v>
      </c>
      <c r="B248" s="4" t="s">
        <v>124</v>
      </c>
      <c r="C248" s="4" t="s">
        <v>125</v>
      </c>
      <c r="D248" s="5">
        <v>46055.0</v>
      </c>
      <c r="E248" s="3" t="str">
        <f t="shared" si="1"/>
        <v>Monday</v>
      </c>
      <c r="F248" s="4" t="str">
        <f t="shared" si="2"/>
        <v>February</v>
      </c>
      <c r="G248" s="3">
        <v>2026.0</v>
      </c>
    </row>
    <row r="249" ht="15.75" customHeight="1">
      <c r="A249" s="3">
        <v>4.9303288E7</v>
      </c>
      <c r="B249" s="4" t="s">
        <v>102</v>
      </c>
      <c r="C249" s="4" t="s">
        <v>103</v>
      </c>
      <c r="D249" s="5">
        <v>46053.0</v>
      </c>
      <c r="E249" s="3" t="str">
        <f t="shared" si="1"/>
        <v>Saturday</v>
      </c>
      <c r="F249" s="4" t="str">
        <f t="shared" si="2"/>
        <v>January</v>
      </c>
      <c r="G249" s="3">
        <v>2026.0</v>
      </c>
    </row>
    <row r="250" ht="15.75" customHeight="1">
      <c r="A250" s="3">
        <v>4.9512992E7</v>
      </c>
      <c r="B250" s="4" t="s">
        <v>171</v>
      </c>
      <c r="C250" s="4" t="s">
        <v>172</v>
      </c>
      <c r="D250" s="5">
        <v>46057.0</v>
      </c>
      <c r="E250" s="3" t="str">
        <f t="shared" si="1"/>
        <v>Wednesday</v>
      </c>
      <c r="F250" s="4" t="str">
        <f t="shared" si="2"/>
        <v>February</v>
      </c>
      <c r="G250" s="3">
        <v>2026.0</v>
      </c>
    </row>
    <row r="251" ht="15.75" customHeight="1">
      <c r="A251" s="3">
        <v>4.9249976E7</v>
      </c>
      <c r="B251" s="4" t="s">
        <v>63</v>
      </c>
      <c r="C251" s="4" t="s">
        <v>64</v>
      </c>
      <c r="D251" s="5">
        <v>46051.0</v>
      </c>
      <c r="E251" s="3" t="str">
        <f t="shared" si="1"/>
        <v>Thursday</v>
      </c>
      <c r="F251" s="4" t="str">
        <f t="shared" si="2"/>
        <v>January</v>
      </c>
      <c r="G251" s="3">
        <v>2026.0</v>
      </c>
    </row>
    <row r="252" ht="15.75" customHeight="1">
      <c r="A252" s="3">
        <v>4.8431463E7</v>
      </c>
      <c r="B252" s="4" t="s">
        <v>55</v>
      </c>
      <c r="C252" s="4" t="s">
        <v>56</v>
      </c>
      <c r="D252" s="5">
        <v>46023.0</v>
      </c>
      <c r="E252" s="3" t="str">
        <f t="shared" si="1"/>
        <v>Thursday</v>
      </c>
      <c r="F252" s="4" t="str">
        <f t="shared" si="2"/>
        <v>January</v>
      </c>
      <c r="G252" s="3">
        <v>2026.0</v>
      </c>
    </row>
    <row r="253" ht="15.75" customHeight="1">
      <c r="A253" s="3">
        <v>4.9394591E7</v>
      </c>
      <c r="B253" s="4" t="s">
        <v>208</v>
      </c>
      <c r="C253" s="4" t="s">
        <v>209</v>
      </c>
      <c r="D253" s="5">
        <v>46056.0</v>
      </c>
      <c r="E253" s="3" t="str">
        <f t="shared" si="1"/>
        <v>Tuesday</v>
      </c>
      <c r="F253" s="4" t="str">
        <f t="shared" si="2"/>
        <v>February</v>
      </c>
      <c r="G253" s="3">
        <v>2026.0</v>
      </c>
    </row>
    <row r="254" ht="15.75" customHeight="1">
      <c r="A254" s="3">
        <v>4.9397348E7</v>
      </c>
      <c r="B254" s="4" t="s">
        <v>9</v>
      </c>
      <c r="C254" s="4" t="s">
        <v>10</v>
      </c>
      <c r="D254" s="5">
        <v>46056.0</v>
      </c>
      <c r="E254" s="3" t="str">
        <f t="shared" si="1"/>
        <v>Tuesday</v>
      </c>
      <c r="F254" s="4" t="str">
        <f t="shared" si="2"/>
        <v>February</v>
      </c>
      <c r="G254" s="3">
        <v>2026.0</v>
      </c>
    </row>
    <row r="255" ht="15.75" customHeight="1">
      <c r="A255" s="3">
        <v>4.8412818E7</v>
      </c>
      <c r="B255" s="4" t="s">
        <v>210</v>
      </c>
      <c r="C255" s="4" t="s">
        <v>211</v>
      </c>
      <c r="D255" s="5">
        <v>46023.0</v>
      </c>
      <c r="E255" s="3" t="str">
        <f t="shared" si="1"/>
        <v>Thursday</v>
      </c>
      <c r="F255" s="4" t="str">
        <f t="shared" si="2"/>
        <v>January</v>
      </c>
      <c r="G255" s="3">
        <v>2026.0</v>
      </c>
    </row>
    <row r="256" ht="15.75" customHeight="1">
      <c r="A256" s="3">
        <v>4.8601131E7</v>
      </c>
      <c r="B256" s="4" t="s">
        <v>202</v>
      </c>
      <c r="C256" s="4" t="s">
        <v>203</v>
      </c>
      <c r="D256" s="5">
        <v>46030.0</v>
      </c>
      <c r="E256" s="3" t="str">
        <f t="shared" si="1"/>
        <v>Thursday</v>
      </c>
      <c r="F256" s="4" t="str">
        <f t="shared" si="2"/>
        <v>January</v>
      </c>
      <c r="G256" s="3">
        <v>2026.0</v>
      </c>
    </row>
    <row r="257" ht="15.75" customHeight="1">
      <c r="A257" s="3">
        <v>4.9303865E7</v>
      </c>
      <c r="B257" s="4" t="s">
        <v>43</v>
      </c>
      <c r="C257" s="4" t="s">
        <v>44</v>
      </c>
      <c r="D257" s="5">
        <v>46054.0</v>
      </c>
      <c r="E257" s="3" t="str">
        <f t="shared" si="1"/>
        <v>Sunday</v>
      </c>
      <c r="F257" s="4" t="str">
        <f t="shared" si="2"/>
        <v>February</v>
      </c>
      <c r="G257" s="3">
        <v>2026.0</v>
      </c>
    </row>
    <row r="258" ht="15.75" customHeight="1">
      <c r="A258" s="3">
        <v>4.8615939E7</v>
      </c>
      <c r="B258" s="4" t="s">
        <v>94</v>
      </c>
      <c r="C258" s="4" t="s">
        <v>95</v>
      </c>
      <c r="D258" s="5">
        <v>46030.0</v>
      </c>
      <c r="E258" s="3" t="str">
        <f t="shared" si="1"/>
        <v>Thursday</v>
      </c>
      <c r="F258" s="4" t="str">
        <f t="shared" si="2"/>
        <v>January</v>
      </c>
      <c r="G258" s="3">
        <v>2026.0</v>
      </c>
    </row>
    <row r="259" ht="15.75" customHeight="1">
      <c r="A259" s="3">
        <v>4.8412822E7</v>
      </c>
      <c r="B259" s="4" t="s">
        <v>212</v>
      </c>
      <c r="C259" s="4" t="s">
        <v>213</v>
      </c>
      <c r="D259" s="5">
        <v>46023.0</v>
      </c>
      <c r="E259" s="3" t="str">
        <f t="shared" si="1"/>
        <v>Thursday</v>
      </c>
      <c r="F259" s="4" t="str">
        <f t="shared" si="2"/>
        <v>January</v>
      </c>
      <c r="G259" s="3">
        <v>2026.0</v>
      </c>
    </row>
    <row r="260" ht="15.75" customHeight="1">
      <c r="A260" s="3">
        <v>4.9297867E7</v>
      </c>
      <c r="B260" s="4" t="s">
        <v>57</v>
      </c>
      <c r="C260" s="4" t="s">
        <v>58</v>
      </c>
      <c r="D260" s="5">
        <v>46053.0</v>
      </c>
      <c r="E260" s="3" t="str">
        <f t="shared" si="1"/>
        <v>Saturday</v>
      </c>
      <c r="F260" s="4" t="str">
        <f t="shared" si="2"/>
        <v>January</v>
      </c>
      <c r="G260" s="3">
        <v>2026.0</v>
      </c>
    </row>
    <row r="261" ht="15.75" customHeight="1">
      <c r="A261" s="3">
        <v>4.9843792E7</v>
      </c>
      <c r="B261" s="4" t="s">
        <v>214</v>
      </c>
      <c r="D261" s="5">
        <v>46062.0</v>
      </c>
      <c r="E261" s="3" t="str">
        <f t="shared" si="1"/>
        <v>Monday</v>
      </c>
      <c r="F261" s="4" t="str">
        <f t="shared" si="2"/>
        <v>February</v>
      </c>
      <c r="G261" s="3">
        <v>2026.0</v>
      </c>
    </row>
    <row r="262" ht="15.75" customHeight="1">
      <c r="A262" s="3">
        <v>4.8712952E7</v>
      </c>
      <c r="B262" s="4" t="s">
        <v>215</v>
      </c>
      <c r="C262" s="4" t="s">
        <v>216</v>
      </c>
      <c r="D262" s="5">
        <v>46038.0</v>
      </c>
      <c r="E262" s="3" t="str">
        <f t="shared" si="1"/>
        <v>Friday</v>
      </c>
      <c r="F262" s="4" t="str">
        <f t="shared" si="2"/>
        <v>January</v>
      </c>
      <c r="G262" s="3">
        <v>2026.0</v>
      </c>
    </row>
    <row r="263" ht="15.75" customHeight="1">
      <c r="A263" s="3">
        <v>4.8736072E7</v>
      </c>
      <c r="B263" s="4" t="s">
        <v>169</v>
      </c>
      <c r="C263" s="4" t="s">
        <v>170</v>
      </c>
      <c r="D263" s="5">
        <v>46043.0</v>
      </c>
      <c r="E263" s="3" t="str">
        <f t="shared" si="1"/>
        <v>Wednesday</v>
      </c>
      <c r="F263" s="4" t="str">
        <f t="shared" si="2"/>
        <v>January</v>
      </c>
      <c r="G263" s="3">
        <v>2026.0</v>
      </c>
    </row>
    <row r="264" ht="15.75" customHeight="1">
      <c r="A264" s="3">
        <v>4.9030077E7</v>
      </c>
      <c r="B264" s="4" t="s">
        <v>39</v>
      </c>
      <c r="C264" s="4" t="s">
        <v>40</v>
      </c>
      <c r="D264" s="5">
        <v>46044.0</v>
      </c>
      <c r="E264" s="3" t="str">
        <f t="shared" si="1"/>
        <v>Thursday</v>
      </c>
      <c r="F264" s="4" t="str">
        <f t="shared" si="2"/>
        <v>January</v>
      </c>
      <c r="G264" s="3">
        <v>2026.0</v>
      </c>
    </row>
    <row r="265" ht="15.75" customHeight="1">
      <c r="A265" s="3">
        <v>4.930416E7</v>
      </c>
      <c r="B265" s="4" t="s">
        <v>98</v>
      </c>
      <c r="C265" s="4" t="s">
        <v>99</v>
      </c>
      <c r="D265" s="5">
        <v>46054.0</v>
      </c>
      <c r="E265" s="3" t="str">
        <f t="shared" si="1"/>
        <v>Sunday</v>
      </c>
      <c r="F265" s="4" t="str">
        <f t="shared" si="2"/>
        <v>February</v>
      </c>
      <c r="G265" s="3">
        <v>2026.0</v>
      </c>
    </row>
    <row r="266" ht="15.75" customHeight="1">
      <c r="A266" s="3">
        <v>4.9298511E7</v>
      </c>
      <c r="B266" s="4" t="s">
        <v>7</v>
      </c>
      <c r="C266" s="4" t="s">
        <v>8</v>
      </c>
      <c r="D266" s="5">
        <v>46053.0</v>
      </c>
      <c r="E266" s="3" t="str">
        <f t="shared" si="1"/>
        <v>Saturday</v>
      </c>
      <c r="F266" s="4" t="str">
        <f t="shared" si="2"/>
        <v>January</v>
      </c>
      <c r="G266" s="3">
        <v>2026.0</v>
      </c>
    </row>
    <row r="267" ht="15.75" customHeight="1">
      <c r="A267" s="3">
        <v>4.9245962E7</v>
      </c>
      <c r="B267" s="4" t="s">
        <v>134</v>
      </c>
      <c r="C267" s="4" t="s">
        <v>135</v>
      </c>
      <c r="D267" s="5">
        <v>46052.0</v>
      </c>
      <c r="E267" s="3" t="str">
        <f t="shared" si="1"/>
        <v>Friday</v>
      </c>
      <c r="F267" s="4" t="str">
        <f t="shared" si="2"/>
        <v>January</v>
      </c>
      <c r="G267" s="3">
        <v>2026.0</v>
      </c>
    </row>
    <row r="268" ht="15.75" customHeight="1">
      <c r="A268" s="3">
        <v>4.9395892E7</v>
      </c>
      <c r="B268" s="4" t="s">
        <v>158</v>
      </c>
      <c r="C268" s="4" t="s">
        <v>159</v>
      </c>
      <c r="D268" s="5">
        <v>46054.0</v>
      </c>
      <c r="E268" s="3" t="str">
        <f t="shared" si="1"/>
        <v>Sunday</v>
      </c>
      <c r="F268" s="4" t="str">
        <f t="shared" si="2"/>
        <v>February</v>
      </c>
      <c r="G268" s="3">
        <v>2026.0</v>
      </c>
    </row>
    <row r="269" ht="15.75" customHeight="1">
      <c r="A269" s="3">
        <v>4.8615951E7</v>
      </c>
      <c r="B269" s="4" t="s">
        <v>37</v>
      </c>
      <c r="C269" s="4" t="s">
        <v>38</v>
      </c>
      <c r="D269" s="5">
        <v>46030.0</v>
      </c>
      <c r="E269" s="3" t="str">
        <f t="shared" si="1"/>
        <v>Thursday</v>
      </c>
      <c r="F269" s="4" t="str">
        <f t="shared" si="2"/>
        <v>January</v>
      </c>
      <c r="G269" s="3">
        <v>2026.0</v>
      </c>
    </row>
    <row r="270" ht="15.75" customHeight="1">
      <c r="A270" s="3">
        <v>4.8591656E7</v>
      </c>
      <c r="B270" s="4" t="s">
        <v>217</v>
      </c>
      <c r="D270" s="5">
        <v>46023.0</v>
      </c>
      <c r="E270" s="3" t="str">
        <f t="shared" si="1"/>
        <v>Thursday</v>
      </c>
      <c r="F270" s="4" t="str">
        <f t="shared" si="2"/>
        <v>January</v>
      </c>
      <c r="G270" s="3">
        <v>2026.0</v>
      </c>
    </row>
    <row r="271" ht="15.75" customHeight="1">
      <c r="A271" s="3">
        <v>4.9961922E7</v>
      </c>
      <c r="B271" s="4" t="s">
        <v>134</v>
      </c>
      <c r="C271" s="4" t="s">
        <v>135</v>
      </c>
      <c r="D271" s="5">
        <v>46065.0</v>
      </c>
      <c r="E271" s="3" t="str">
        <f t="shared" si="1"/>
        <v>Thursday</v>
      </c>
      <c r="F271" s="4" t="str">
        <f t="shared" si="2"/>
        <v>February</v>
      </c>
      <c r="G271" s="3">
        <v>2026.0</v>
      </c>
    </row>
    <row r="272" ht="15.75" customHeight="1">
      <c r="A272" s="3">
        <v>4.9303226E7</v>
      </c>
      <c r="B272" s="4" t="s">
        <v>218</v>
      </c>
      <c r="C272" s="4" t="s">
        <v>219</v>
      </c>
      <c r="D272" s="5">
        <v>46053.0</v>
      </c>
      <c r="E272" s="3" t="str">
        <f t="shared" si="1"/>
        <v>Saturday</v>
      </c>
      <c r="F272" s="4" t="str">
        <f t="shared" si="2"/>
        <v>January</v>
      </c>
      <c r="G272" s="3">
        <v>2026.0</v>
      </c>
    </row>
    <row r="273" ht="15.75" customHeight="1">
      <c r="A273" s="3">
        <v>4.8412825E7</v>
      </c>
      <c r="B273" s="4" t="s">
        <v>220</v>
      </c>
      <c r="C273" s="4" t="s">
        <v>221</v>
      </c>
      <c r="D273" s="5">
        <v>46023.0</v>
      </c>
      <c r="E273" s="3" t="str">
        <f t="shared" si="1"/>
        <v>Thursday</v>
      </c>
      <c r="F273" s="4" t="str">
        <f t="shared" si="2"/>
        <v>January</v>
      </c>
      <c r="G273" s="3">
        <v>2026.0</v>
      </c>
    </row>
    <row r="274" ht="15.75" customHeight="1">
      <c r="A274" s="3">
        <v>4.9395887E7</v>
      </c>
      <c r="B274" s="4" t="s">
        <v>39</v>
      </c>
      <c r="C274" s="4" t="s">
        <v>40</v>
      </c>
      <c r="D274" s="5">
        <v>46054.0</v>
      </c>
      <c r="E274" s="3" t="str">
        <f t="shared" si="1"/>
        <v>Sunday</v>
      </c>
      <c r="F274" s="4" t="str">
        <f t="shared" si="2"/>
        <v>February</v>
      </c>
      <c r="G274" s="3">
        <v>2026.0</v>
      </c>
    </row>
    <row r="275" ht="15.75" customHeight="1">
      <c r="A275" s="3">
        <v>4.9962498E7</v>
      </c>
      <c r="B275" s="4" t="s">
        <v>81</v>
      </c>
      <c r="C275" s="4" t="s">
        <v>82</v>
      </c>
      <c r="D275" s="5">
        <v>46065.0</v>
      </c>
      <c r="E275" s="3" t="str">
        <f t="shared" si="1"/>
        <v>Thursday</v>
      </c>
      <c r="F275" s="4" t="str">
        <f t="shared" si="2"/>
        <v>February</v>
      </c>
      <c r="G275" s="3">
        <v>2026.0</v>
      </c>
    </row>
    <row r="276" ht="15.75" customHeight="1">
      <c r="A276" s="3">
        <v>4.9512905E7</v>
      </c>
      <c r="B276" s="4" t="s">
        <v>9</v>
      </c>
      <c r="C276" s="4" t="s">
        <v>10</v>
      </c>
      <c r="D276" s="5">
        <v>46057.0</v>
      </c>
      <c r="E276" s="3" t="str">
        <f t="shared" si="1"/>
        <v>Wednesday</v>
      </c>
      <c r="F276" s="4" t="str">
        <f t="shared" si="2"/>
        <v>February</v>
      </c>
      <c r="G276" s="3">
        <v>2026.0</v>
      </c>
    </row>
    <row r="277" ht="15.75" customHeight="1">
      <c r="A277" s="3">
        <v>4.9518272E7</v>
      </c>
      <c r="B277" s="4" t="s">
        <v>75</v>
      </c>
      <c r="C277" s="4" t="s">
        <v>76</v>
      </c>
      <c r="D277" s="5">
        <v>46050.0</v>
      </c>
      <c r="E277" s="3" t="str">
        <f t="shared" si="1"/>
        <v>Wednesday</v>
      </c>
      <c r="F277" s="4" t="str">
        <f t="shared" si="2"/>
        <v>January</v>
      </c>
      <c r="G277" s="3">
        <v>2026.0</v>
      </c>
    </row>
    <row r="278" ht="15.75" customHeight="1">
      <c r="A278" s="3">
        <v>4.9512178E7</v>
      </c>
      <c r="B278" s="4" t="s">
        <v>79</v>
      </c>
      <c r="C278" s="4" t="s">
        <v>80</v>
      </c>
      <c r="D278" s="5">
        <v>46057.0</v>
      </c>
      <c r="E278" s="3" t="str">
        <f t="shared" si="1"/>
        <v>Wednesday</v>
      </c>
      <c r="F278" s="4" t="str">
        <f t="shared" si="2"/>
        <v>February</v>
      </c>
      <c r="G278" s="3">
        <v>2026.0</v>
      </c>
    </row>
    <row r="279" ht="15.75" customHeight="1">
      <c r="A279" s="3">
        <v>4.9323238E7</v>
      </c>
      <c r="B279" s="4" t="s">
        <v>73</v>
      </c>
      <c r="C279" s="4" t="s">
        <v>74</v>
      </c>
      <c r="D279" s="5">
        <v>46054.0</v>
      </c>
      <c r="E279" s="3" t="str">
        <f t="shared" si="1"/>
        <v>Sunday</v>
      </c>
      <c r="F279" s="4" t="str">
        <f t="shared" si="2"/>
        <v>February</v>
      </c>
      <c r="G279" s="3">
        <v>2026.0</v>
      </c>
    </row>
    <row r="280" ht="15.75" customHeight="1">
      <c r="A280" s="3">
        <v>4.865354E7</v>
      </c>
      <c r="B280" s="4" t="s">
        <v>222</v>
      </c>
      <c r="C280" s="4" t="s">
        <v>223</v>
      </c>
      <c r="D280" s="5">
        <v>46036.0</v>
      </c>
      <c r="E280" s="3" t="str">
        <f t="shared" si="1"/>
        <v>Wednesday</v>
      </c>
      <c r="F280" s="4" t="str">
        <f t="shared" si="2"/>
        <v>January</v>
      </c>
      <c r="G280" s="3">
        <v>2026.0</v>
      </c>
    </row>
    <row r="281" ht="15.75" customHeight="1">
      <c r="A281" s="3">
        <v>4.8915866E7</v>
      </c>
      <c r="B281" s="4" t="s">
        <v>39</v>
      </c>
      <c r="C281" s="4" t="s">
        <v>40</v>
      </c>
      <c r="D281" s="5">
        <v>46048.0</v>
      </c>
      <c r="E281" s="3" t="str">
        <f t="shared" si="1"/>
        <v>Monday</v>
      </c>
      <c r="F281" s="4" t="str">
        <f t="shared" si="2"/>
        <v>January</v>
      </c>
      <c r="G281" s="3">
        <v>2026.0</v>
      </c>
    </row>
    <row r="282" ht="15.75" customHeight="1">
      <c r="A282" s="3">
        <v>4.9671944E7</v>
      </c>
      <c r="B282" s="4" t="s">
        <v>47</v>
      </c>
      <c r="C282" s="4" t="s">
        <v>48</v>
      </c>
      <c r="D282" s="5">
        <v>46062.0</v>
      </c>
      <c r="E282" s="3" t="str">
        <f t="shared" si="1"/>
        <v>Monday</v>
      </c>
      <c r="F282" s="4" t="str">
        <f t="shared" si="2"/>
        <v>February</v>
      </c>
      <c r="G282" s="3">
        <v>2026.0</v>
      </c>
    </row>
    <row r="283" ht="15.75" customHeight="1">
      <c r="A283" s="3">
        <v>4.8412821E7</v>
      </c>
      <c r="B283" s="4" t="s">
        <v>224</v>
      </c>
      <c r="C283" s="4" t="s">
        <v>225</v>
      </c>
      <c r="D283" s="5">
        <v>46023.0</v>
      </c>
      <c r="E283" s="3" t="str">
        <f t="shared" si="1"/>
        <v>Thursday</v>
      </c>
      <c r="F283" s="4" t="str">
        <f t="shared" si="2"/>
        <v>January</v>
      </c>
      <c r="G283" s="3">
        <v>2026.0</v>
      </c>
    </row>
    <row r="284" ht="15.75" customHeight="1">
      <c r="A284" s="3">
        <v>5.0032453E7</v>
      </c>
      <c r="B284" s="4" t="s">
        <v>43</v>
      </c>
      <c r="C284" s="4" t="s">
        <v>44</v>
      </c>
      <c r="D284" s="5">
        <v>46068.0</v>
      </c>
      <c r="E284" s="3" t="str">
        <f t="shared" si="1"/>
        <v>Sunday</v>
      </c>
      <c r="F284" s="4" t="str">
        <f t="shared" si="2"/>
        <v>February</v>
      </c>
      <c r="G284" s="3">
        <v>2026.0</v>
      </c>
    </row>
    <row r="285" ht="15.75" customHeight="1">
      <c r="A285" s="3">
        <v>4.8902685E7</v>
      </c>
      <c r="B285" s="4" t="s">
        <v>226</v>
      </c>
      <c r="C285" s="4" t="s">
        <v>227</v>
      </c>
      <c r="D285" s="5">
        <v>46047.0</v>
      </c>
      <c r="E285" s="3" t="str">
        <f t="shared" si="1"/>
        <v>Sunday</v>
      </c>
      <c r="F285" s="4" t="str">
        <f t="shared" si="2"/>
        <v>January</v>
      </c>
      <c r="G285" s="3">
        <v>2026.0</v>
      </c>
    </row>
    <row r="286" ht="15.75" customHeight="1">
      <c r="A286" s="3">
        <v>4.9620067E7</v>
      </c>
      <c r="B286" s="4" t="s">
        <v>21</v>
      </c>
      <c r="C286" s="4" t="s">
        <v>22</v>
      </c>
      <c r="D286" s="5">
        <v>46059.0</v>
      </c>
      <c r="E286" s="3" t="str">
        <f t="shared" si="1"/>
        <v>Friday</v>
      </c>
      <c r="F286" s="4" t="str">
        <f t="shared" si="2"/>
        <v>February</v>
      </c>
      <c r="G286" s="3">
        <v>2026.0</v>
      </c>
    </row>
    <row r="287" ht="15.75" customHeight="1">
      <c r="A287" s="3">
        <v>4.8601128E7</v>
      </c>
      <c r="B287" s="4" t="s">
        <v>228</v>
      </c>
      <c r="C287" s="4" t="s">
        <v>229</v>
      </c>
      <c r="D287" s="5">
        <v>46030.0</v>
      </c>
      <c r="E287" s="3" t="str">
        <f t="shared" si="1"/>
        <v>Thursday</v>
      </c>
      <c r="F287" s="4" t="str">
        <f t="shared" si="2"/>
        <v>January</v>
      </c>
      <c r="G287" s="3">
        <v>2026.0</v>
      </c>
    </row>
    <row r="288" ht="15.75" customHeight="1">
      <c r="A288" s="3">
        <v>5.0031382E7</v>
      </c>
      <c r="B288" s="4" t="s">
        <v>177</v>
      </c>
      <c r="C288" s="4" t="s">
        <v>178</v>
      </c>
      <c r="D288" s="5">
        <v>46067.0</v>
      </c>
      <c r="E288" s="3" t="str">
        <f t="shared" si="1"/>
        <v>Saturday</v>
      </c>
      <c r="F288" s="4" t="str">
        <f t="shared" si="2"/>
        <v>February</v>
      </c>
      <c r="G288" s="3">
        <v>2026.0</v>
      </c>
    </row>
    <row r="289" ht="15.75" customHeight="1">
      <c r="A289" s="3">
        <v>4.9724513E7</v>
      </c>
      <c r="B289" s="4" t="s">
        <v>188</v>
      </c>
      <c r="C289" s="4" t="s">
        <v>189</v>
      </c>
      <c r="D289" s="5">
        <v>46056.0</v>
      </c>
      <c r="E289" s="3" t="str">
        <f t="shared" si="1"/>
        <v>Tuesday</v>
      </c>
      <c r="F289" s="4" t="str">
        <f t="shared" si="2"/>
        <v>February</v>
      </c>
      <c r="G289" s="3">
        <v>2026.0</v>
      </c>
    </row>
    <row r="290" ht="15.75" customHeight="1">
      <c r="A290" s="3">
        <v>4.9889531E7</v>
      </c>
      <c r="B290" s="4" t="s">
        <v>171</v>
      </c>
      <c r="C290" s="4" t="s">
        <v>172</v>
      </c>
      <c r="D290" s="5">
        <v>46064.0</v>
      </c>
      <c r="E290" s="3" t="str">
        <f t="shared" si="1"/>
        <v>Wednesday</v>
      </c>
      <c r="F290" s="4" t="str">
        <f t="shared" si="2"/>
        <v>February</v>
      </c>
      <c r="G290" s="3">
        <v>2026.0</v>
      </c>
    </row>
    <row r="291" ht="15.75" customHeight="1">
      <c r="A291" s="3">
        <v>5.0079029E7</v>
      </c>
      <c r="B291" s="4" t="s">
        <v>230</v>
      </c>
      <c r="D291" s="5">
        <v>46069.0</v>
      </c>
      <c r="E291" s="3" t="str">
        <f t="shared" si="1"/>
        <v>Monday</v>
      </c>
      <c r="F291" s="4" t="str">
        <f t="shared" si="2"/>
        <v>February</v>
      </c>
      <c r="G291" s="3">
        <v>2026.0</v>
      </c>
    </row>
    <row r="292" ht="15.75" customHeight="1">
      <c r="A292" s="3">
        <v>4.8435988E7</v>
      </c>
      <c r="B292" s="4" t="s">
        <v>231</v>
      </c>
      <c r="C292" s="4" t="s">
        <v>232</v>
      </c>
      <c r="D292" s="5">
        <v>46025.0</v>
      </c>
      <c r="E292" s="3" t="str">
        <f t="shared" si="1"/>
        <v>Saturday</v>
      </c>
      <c r="F292" s="4" t="str">
        <f t="shared" si="2"/>
        <v>January</v>
      </c>
      <c r="G292" s="3">
        <v>2026.0</v>
      </c>
    </row>
    <row r="293" ht="15.75" customHeight="1">
      <c r="A293" s="3">
        <v>4.8912686E7</v>
      </c>
      <c r="B293" s="4" t="s">
        <v>184</v>
      </c>
      <c r="C293" s="4" t="s">
        <v>185</v>
      </c>
      <c r="D293" s="5">
        <v>46048.0</v>
      </c>
      <c r="E293" s="3" t="str">
        <f t="shared" si="1"/>
        <v>Monday</v>
      </c>
      <c r="F293" s="4" t="str">
        <f t="shared" si="2"/>
        <v>January</v>
      </c>
      <c r="G293" s="3">
        <v>2026.0</v>
      </c>
    </row>
    <row r="294" ht="15.75" customHeight="1">
      <c r="A294" s="3">
        <v>5.0032108E7</v>
      </c>
      <c r="B294" s="4" t="s">
        <v>9</v>
      </c>
      <c r="C294" s="4" t="s">
        <v>10</v>
      </c>
      <c r="D294" s="5">
        <v>46068.0</v>
      </c>
      <c r="E294" s="3" t="str">
        <f t="shared" si="1"/>
        <v>Sunday</v>
      </c>
      <c r="F294" s="4" t="str">
        <f t="shared" si="2"/>
        <v>February</v>
      </c>
      <c r="G294" s="3">
        <v>2026.0</v>
      </c>
    </row>
    <row r="295" ht="15.75" customHeight="1">
      <c r="A295" s="3">
        <v>4.8599964E7</v>
      </c>
      <c r="B295" s="4" t="s">
        <v>130</v>
      </c>
      <c r="C295" s="4" t="s">
        <v>131</v>
      </c>
      <c r="D295" s="5">
        <v>46030.0</v>
      </c>
      <c r="E295" s="3" t="str">
        <f t="shared" si="1"/>
        <v>Thursday</v>
      </c>
      <c r="F295" s="4" t="str">
        <f t="shared" si="2"/>
        <v>January</v>
      </c>
      <c r="G295" s="3">
        <v>2026.0</v>
      </c>
    </row>
    <row r="296" ht="15.75" customHeight="1">
      <c r="A296" s="3">
        <v>4.8712835E7</v>
      </c>
      <c r="B296" s="4" t="s">
        <v>233</v>
      </c>
      <c r="D296" s="5">
        <v>46038.0</v>
      </c>
      <c r="E296" s="3" t="str">
        <f t="shared" si="1"/>
        <v>Friday</v>
      </c>
      <c r="F296" s="4" t="str">
        <f t="shared" si="2"/>
        <v>January</v>
      </c>
      <c r="G296" s="3">
        <v>2026.0</v>
      </c>
    </row>
    <row r="297" ht="15.75" customHeight="1">
      <c r="A297" s="3">
        <v>4.9303989E7</v>
      </c>
      <c r="B297" s="4" t="s">
        <v>142</v>
      </c>
      <c r="C297" s="4" t="s">
        <v>143</v>
      </c>
      <c r="D297" s="5">
        <v>46054.0</v>
      </c>
      <c r="E297" s="3" t="str">
        <f t="shared" si="1"/>
        <v>Sunday</v>
      </c>
      <c r="F297" s="4" t="str">
        <f t="shared" si="2"/>
        <v>February</v>
      </c>
      <c r="G297" s="3">
        <v>2026.0</v>
      </c>
    </row>
    <row r="298" ht="15.75" customHeight="1">
      <c r="A298" s="3">
        <v>4.9512913E7</v>
      </c>
      <c r="B298" s="4" t="s">
        <v>83</v>
      </c>
      <c r="C298" s="4" t="s">
        <v>84</v>
      </c>
      <c r="D298" s="5">
        <v>46057.0</v>
      </c>
      <c r="E298" s="3" t="str">
        <f t="shared" si="1"/>
        <v>Wednesday</v>
      </c>
      <c r="F298" s="4" t="str">
        <f t="shared" si="2"/>
        <v>February</v>
      </c>
      <c r="G298" s="3">
        <v>2026.0</v>
      </c>
    </row>
    <row r="299" ht="15.75" customHeight="1">
      <c r="A299" s="3">
        <v>5.0355879E7</v>
      </c>
      <c r="B299" s="4" t="s">
        <v>57</v>
      </c>
      <c r="C299" s="4" t="s">
        <v>58</v>
      </c>
      <c r="D299" s="5">
        <v>46077.0</v>
      </c>
      <c r="E299" s="3" t="str">
        <f t="shared" si="1"/>
        <v>Tuesday</v>
      </c>
      <c r="F299" s="4" t="str">
        <f t="shared" si="2"/>
        <v>February</v>
      </c>
      <c r="G299" s="3">
        <v>2026.0</v>
      </c>
    </row>
    <row r="300" ht="15.75" customHeight="1">
      <c r="A300" s="3">
        <v>4.860112E7</v>
      </c>
      <c r="B300" s="4" t="s">
        <v>234</v>
      </c>
      <c r="C300" s="4" t="s">
        <v>235</v>
      </c>
      <c r="D300" s="5">
        <v>46030.0</v>
      </c>
      <c r="E300" s="3" t="str">
        <f t="shared" si="1"/>
        <v>Thursday</v>
      </c>
      <c r="F300" s="4" t="str">
        <f t="shared" si="2"/>
        <v>January</v>
      </c>
      <c r="G300" s="3">
        <v>2026.0</v>
      </c>
    </row>
    <row r="301" ht="15.75" customHeight="1">
      <c r="A301" s="3">
        <v>4.8667269E7</v>
      </c>
      <c r="B301" s="4" t="s">
        <v>79</v>
      </c>
      <c r="C301" s="4" t="s">
        <v>80</v>
      </c>
      <c r="D301" s="5">
        <v>46037.0</v>
      </c>
      <c r="E301" s="3" t="str">
        <f t="shared" si="1"/>
        <v>Thursday</v>
      </c>
      <c r="F301" s="4" t="str">
        <f t="shared" si="2"/>
        <v>January</v>
      </c>
      <c r="G301" s="3">
        <v>2026.0</v>
      </c>
    </row>
    <row r="302" ht="15.75" customHeight="1">
      <c r="A302" s="3">
        <v>4.8601126E7</v>
      </c>
      <c r="B302" s="4" t="s">
        <v>167</v>
      </c>
      <c r="C302" s="4" t="s">
        <v>168</v>
      </c>
      <c r="D302" s="5">
        <v>46030.0</v>
      </c>
      <c r="E302" s="3" t="str">
        <f t="shared" si="1"/>
        <v>Thursday</v>
      </c>
      <c r="F302" s="4" t="str">
        <f t="shared" si="2"/>
        <v>January</v>
      </c>
      <c r="G302" s="3">
        <v>2026.0</v>
      </c>
    </row>
    <row r="303" ht="15.75" customHeight="1">
      <c r="A303" s="3">
        <v>4.996248E7</v>
      </c>
      <c r="B303" s="4" t="s">
        <v>73</v>
      </c>
      <c r="C303" s="4" t="s">
        <v>74</v>
      </c>
      <c r="D303" s="5">
        <v>46065.0</v>
      </c>
      <c r="E303" s="3" t="str">
        <f t="shared" si="1"/>
        <v>Thursday</v>
      </c>
      <c r="F303" s="4" t="str">
        <f t="shared" si="2"/>
        <v>February</v>
      </c>
      <c r="G303" s="3">
        <v>2026.0</v>
      </c>
    </row>
    <row r="304" ht="15.75" customHeight="1">
      <c r="A304" s="3">
        <v>4.9671645E7</v>
      </c>
      <c r="B304" s="4" t="s">
        <v>73</v>
      </c>
      <c r="C304" s="4" t="s">
        <v>74</v>
      </c>
      <c r="D304" s="5">
        <v>46062.0</v>
      </c>
      <c r="E304" s="3" t="str">
        <f t="shared" si="1"/>
        <v>Monday</v>
      </c>
      <c r="F304" s="4" t="str">
        <f t="shared" si="2"/>
        <v>February</v>
      </c>
      <c r="G304" s="3">
        <v>2026.0</v>
      </c>
    </row>
    <row r="305" ht="15.75" customHeight="1">
      <c r="A305" s="3">
        <v>4.8431155E7</v>
      </c>
      <c r="B305" s="4" t="s">
        <v>55</v>
      </c>
      <c r="C305" s="4" t="s">
        <v>56</v>
      </c>
      <c r="D305" s="5">
        <v>46023.0</v>
      </c>
      <c r="E305" s="3" t="str">
        <f t="shared" si="1"/>
        <v>Thursday</v>
      </c>
      <c r="F305" s="4" t="str">
        <f t="shared" si="2"/>
        <v>January</v>
      </c>
      <c r="G305" s="3">
        <v>2026.0</v>
      </c>
    </row>
    <row r="306" ht="15.75" customHeight="1">
      <c r="A306" s="3">
        <v>4.9303286E7</v>
      </c>
      <c r="B306" s="4" t="s">
        <v>236</v>
      </c>
      <c r="C306" s="4" t="s">
        <v>237</v>
      </c>
      <c r="D306" s="5">
        <v>46053.0</v>
      </c>
      <c r="E306" s="3" t="str">
        <f t="shared" si="1"/>
        <v>Saturday</v>
      </c>
      <c r="F306" s="4" t="str">
        <f t="shared" si="2"/>
        <v>January</v>
      </c>
      <c r="G306" s="3">
        <v>2026.0</v>
      </c>
    </row>
    <row r="307" ht="15.75" customHeight="1">
      <c r="A307" s="3">
        <v>4.9303283E7</v>
      </c>
      <c r="B307" s="4" t="s">
        <v>79</v>
      </c>
      <c r="C307" s="4" t="s">
        <v>80</v>
      </c>
      <c r="D307" s="5">
        <v>46053.0</v>
      </c>
      <c r="E307" s="3" t="str">
        <f t="shared" si="1"/>
        <v>Saturday</v>
      </c>
      <c r="F307" s="4" t="str">
        <f t="shared" si="2"/>
        <v>January</v>
      </c>
      <c r="G307" s="3">
        <v>2026.0</v>
      </c>
    </row>
    <row r="308" ht="15.75" customHeight="1">
      <c r="A308" s="3">
        <v>4.8789129E7</v>
      </c>
      <c r="B308" s="4" t="s">
        <v>25</v>
      </c>
      <c r="C308" s="4" t="s">
        <v>26</v>
      </c>
      <c r="D308" s="5">
        <v>46046.0</v>
      </c>
      <c r="E308" s="3" t="str">
        <f t="shared" si="1"/>
        <v>Saturday</v>
      </c>
      <c r="F308" s="4" t="str">
        <f t="shared" si="2"/>
        <v>January</v>
      </c>
      <c r="G308" s="3">
        <v>2026.0</v>
      </c>
    </row>
    <row r="309" ht="15.75" customHeight="1">
      <c r="A309" s="3">
        <v>4.930329E7</v>
      </c>
      <c r="B309" s="4" t="s">
        <v>124</v>
      </c>
      <c r="C309" s="4" t="s">
        <v>125</v>
      </c>
      <c r="D309" s="5">
        <v>46053.0</v>
      </c>
      <c r="E309" s="3" t="str">
        <f t="shared" si="1"/>
        <v>Saturday</v>
      </c>
      <c r="F309" s="4" t="str">
        <f t="shared" si="2"/>
        <v>January</v>
      </c>
      <c r="G309" s="3">
        <v>2026.0</v>
      </c>
    </row>
    <row r="310" ht="15.75" customHeight="1">
      <c r="A310" s="3">
        <v>4.8713084E7</v>
      </c>
      <c r="B310" s="4" t="s">
        <v>165</v>
      </c>
      <c r="C310" s="4" t="s">
        <v>166</v>
      </c>
      <c r="D310" s="5">
        <v>46041.0</v>
      </c>
      <c r="E310" s="3" t="str">
        <f t="shared" si="1"/>
        <v>Monday</v>
      </c>
      <c r="F310" s="4" t="str">
        <f t="shared" si="2"/>
        <v>January</v>
      </c>
      <c r="G310" s="3">
        <v>2026.0</v>
      </c>
    </row>
    <row r="311" ht="15.75" customHeight="1">
      <c r="A311" s="3">
        <v>4.9514957E7</v>
      </c>
      <c r="B311" s="4" t="s">
        <v>27</v>
      </c>
      <c r="C311" s="4" t="s">
        <v>28</v>
      </c>
      <c r="D311" s="5">
        <v>46057.0</v>
      </c>
      <c r="E311" s="3" t="str">
        <f t="shared" si="1"/>
        <v>Wednesday</v>
      </c>
      <c r="F311" s="4" t="str">
        <f t="shared" si="2"/>
        <v>February</v>
      </c>
      <c r="G311" s="3">
        <v>2026.0</v>
      </c>
    </row>
    <row r="312" ht="15.75" customHeight="1">
      <c r="A312" s="3">
        <v>5.0023794E7</v>
      </c>
      <c r="B312" s="4" t="s">
        <v>238</v>
      </c>
      <c r="C312" s="4" t="s">
        <v>239</v>
      </c>
      <c r="D312" s="5">
        <v>46066.0</v>
      </c>
      <c r="E312" s="3" t="str">
        <f t="shared" si="1"/>
        <v>Friday</v>
      </c>
      <c r="F312" s="4" t="str">
        <f t="shared" si="2"/>
        <v>February</v>
      </c>
      <c r="G312" s="3">
        <v>2026.0</v>
      </c>
    </row>
    <row r="313" ht="15.75" customHeight="1">
      <c r="A313" s="3">
        <v>4.929881E7</v>
      </c>
      <c r="B313" s="4" t="s">
        <v>37</v>
      </c>
      <c r="C313" s="4" t="s">
        <v>38</v>
      </c>
      <c r="D313" s="5">
        <v>46053.0</v>
      </c>
      <c r="E313" s="3" t="str">
        <f t="shared" si="1"/>
        <v>Saturday</v>
      </c>
      <c r="F313" s="4" t="str">
        <f t="shared" si="2"/>
        <v>January</v>
      </c>
      <c r="G313" s="3">
        <v>2026.0</v>
      </c>
    </row>
    <row r="314" ht="15.75" customHeight="1">
      <c r="A314" s="3">
        <v>4.9303285E7</v>
      </c>
      <c r="B314" s="4" t="s">
        <v>39</v>
      </c>
      <c r="C314" s="4" t="s">
        <v>40</v>
      </c>
      <c r="D314" s="5">
        <v>46053.0</v>
      </c>
      <c r="E314" s="3" t="str">
        <f t="shared" si="1"/>
        <v>Saturday</v>
      </c>
      <c r="F314" s="4" t="str">
        <f t="shared" si="2"/>
        <v>January</v>
      </c>
      <c r="G314" s="3">
        <v>2026.0</v>
      </c>
    </row>
    <row r="315" ht="15.75" customHeight="1">
      <c r="A315" s="3">
        <v>4.9620074E7</v>
      </c>
      <c r="B315" s="4" t="s">
        <v>79</v>
      </c>
      <c r="C315" s="4" t="s">
        <v>80</v>
      </c>
      <c r="D315" s="5">
        <v>46059.0</v>
      </c>
      <c r="E315" s="3" t="str">
        <f t="shared" si="1"/>
        <v>Friday</v>
      </c>
      <c r="F315" s="4" t="str">
        <f t="shared" si="2"/>
        <v>February</v>
      </c>
      <c r="G315" s="3">
        <v>2026.0</v>
      </c>
    </row>
    <row r="316" ht="15.75" customHeight="1">
      <c r="A316" s="3">
        <v>4.932324E7</v>
      </c>
      <c r="B316" s="4" t="s">
        <v>7</v>
      </c>
      <c r="C316" s="4" t="s">
        <v>8</v>
      </c>
      <c r="D316" s="5">
        <v>46054.0</v>
      </c>
      <c r="E316" s="3" t="str">
        <f t="shared" si="1"/>
        <v>Sunday</v>
      </c>
      <c r="F316" s="4" t="str">
        <f t="shared" si="2"/>
        <v>February</v>
      </c>
      <c r="G316" s="3">
        <v>2026.0</v>
      </c>
    </row>
    <row r="317" ht="15.75" customHeight="1">
      <c r="A317" s="3">
        <v>4.8995013E7</v>
      </c>
      <c r="B317" s="4" t="s">
        <v>130</v>
      </c>
      <c r="C317" s="4" t="s">
        <v>131</v>
      </c>
      <c r="D317" s="5">
        <v>46045.0</v>
      </c>
      <c r="E317" s="3" t="str">
        <f t="shared" si="1"/>
        <v>Friday</v>
      </c>
      <c r="F317" s="4" t="str">
        <f t="shared" si="2"/>
        <v>January</v>
      </c>
      <c r="G317" s="3">
        <v>2026.0</v>
      </c>
    </row>
    <row r="318" ht="15.75" customHeight="1">
      <c r="A318" s="3">
        <v>4.9620072E7</v>
      </c>
      <c r="B318" s="4" t="s">
        <v>7</v>
      </c>
      <c r="C318" s="4" t="s">
        <v>8</v>
      </c>
      <c r="D318" s="5">
        <v>46059.0</v>
      </c>
      <c r="E318" s="3" t="str">
        <f t="shared" si="1"/>
        <v>Friday</v>
      </c>
      <c r="F318" s="4" t="str">
        <f t="shared" si="2"/>
        <v>February</v>
      </c>
      <c r="G318" s="3">
        <v>2026.0</v>
      </c>
    </row>
    <row r="319" ht="15.75" customHeight="1">
      <c r="A319" s="3">
        <v>4.9298816E7</v>
      </c>
      <c r="B319" s="4" t="s">
        <v>73</v>
      </c>
      <c r="C319" s="4" t="s">
        <v>74</v>
      </c>
      <c r="D319" s="5">
        <v>46053.0</v>
      </c>
      <c r="E319" s="3" t="str">
        <f t="shared" si="1"/>
        <v>Saturday</v>
      </c>
      <c r="F319" s="4" t="str">
        <f t="shared" si="2"/>
        <v>January</v>
      </c>
      <c r="G319" s="3">
        <v>2026.0</v>
      </c>
    </row>
    <row r="320" ht="15.75" customHeight="1">
      <c r="A320" s="3">
        <v>4.9642037E7</v>
      </c>
      <c r="B320" s="4" t="s">
        <v>240</v>
      </c>
      <c r="C320" s="4" t="s">
        <v>241</v>
      </c>
      <c r="D320" s="5">
        <v>46053.0</v>
      </c>
      <c r="E320" s="3" t="str">
        <f t="shared" si="1"/>
        <v>Saturday</v>
      </c>
      <c r="F320" s="4" t="str">
        <f t="shared" si="2"/>
        <v>January</v>
      </c>
      <c r="G320" s="3">
        <v>2026.0</v>
      </c>
    </row>
    <row r="321" ht="15.75" customHeight="1">
      <c r="A321" s="3">
        <v>4.9512909E7</v>
      </c>
      <c r="B321" s="4" t="s">
        <v>242</v>
      </c>
      <c r="C321" s="4" t="s">
        <v>243</v>
      </c>
      <c r="D321" s="5">
        <v>46057.0</v>
      </c>
      <c r="E321" s="3" t="str">
        <f t="shared" si="1"/>
        <v>Wednesday</v>
      </c>
      <c r="F321" s="4" t="str">
        <f t="shared" si="2"/>
        <v>February</v>
      </c>
      <c r="G321" s="3">
        <v>2026.0</v>
      </c>
    </row>
    <row r="322" ht="15.75" customHeight="1">
      <c r="A322" s="3">
        <v>4.9513293E7</v>
      </c>
      <c r="B322" s="4" t="s">
        <v>169</v>
      </c>
      <c r="C322" s="4" t="s">
        <v>170</v>
      </c>
      <c r="D322" s="5">
        <v>46057.0</v>
      </c>
      <c r="E322" s="3" t="str">
        <f t="shared" si="1"/>
        <v>Wednesday</v>
      </c>
      <c r="F322" s="4" t="str">
        <f t="shared" si="2"/>
        <v>February</v>
      </c>
      <c r="G322" s="3">
        <v>2026.0</v>
      </c>
    </row>
    <row r="323" ht="15.75" customHeight="1">
      <c r="A323" s="3">
        <v>4.9303953E7</v>
      </c>
      <c r="B323" s="4" t="s">
        <v>31</v>
      </c>
      <c r="C323" s="4" t="s">
        <v>32</v>
      </c>
      <c r="D323" s="5">
        <v>46054.0</v>
      </c>
      <c r="E323" s="3" t="str">
        <f t="shared" si="1"/>
        <v>Sunday</v>
      </c>
      <c r="F323" s="4" t="str">
        <f t="shared" si="2"/>
        <v>February</v>
      </c>
      <c r="G323" s="3">
        <v>2026.0</v>
      </c>
    </row>
    <row r="324" ht="15.75" customHeight="1">
      <c r="A324" s="3">
        <v>5.0023786E7</v>
      </c>
      <c r="B324" s="4" t="s">
        <v>43</v>
      </c>
      <c r="C324" s="4" t="s">
        <v>44</v>
      </c>
      <c r="D324" s="5">
        <v>46066.0</v>
      </c>
      <c r="E324" s="3" t="str">
        <f t="shared" si="1"/>
        <v>Friday</v>
      </c>
      <c r="F324" s="4" t="str">
        <f t="shared" si="2"/>
        <v>February</v>
      </c>
      <c r="G324" s="3">
        <v>2026.0</v>
      </c>
    </row>
    <row r="325" ht="15.75" customHeight="1">
      <c r="A325" s="3">
        <v>4.9733082E7</v>
      </c>
      <c r="B325" s="4" t="s">
        <v>19</v>
      </c>
      <c r="C325" s="4" t="s">
        <v>20</v>
      </c>
      <c r="D325" s="5">
        <v>46062.0</v>
      </c>
      <c r="E325" s="3" t="str">
        <f t="shared" si="1"/>
        <v>Monday</v>
      </c>
      <c r="F325" s="4" t="str">
        <f t="shared" si="2"/>
        <v>February</v>
      </c>
      <c r="G325" s="3">
        <v>2026.0</v>
      </c>
    </row>
    <row r="326" ht="15.75" customHeight="1">
      <c r="A326" s="3">
        <v>4.9889539E7</v>
      </c>
      <c r="B326" s="4" t="s">
        <v>110</v>
      </c>
      <c r="C326" s="4" t="s">
        <v>111</v>
      </c>
      <c r="D326" s="5">
        <v>46064.0</v>
      </c>
      <c r="E326" s="3" t="str">
        <f t="shared" si="1"/>
        <v>Wednesday</v>
      </c>
      <c r="F326" s="4" t="str">
        <f t="shared" si="2"/>
        <v>February</v>
      </c>
      <c r="G326" s="3">
        <v>2026.0</v>
      </c>
    </row>
    <row r="327" ht="15.75" customHeight="1">
      <c r="A327" s="3">
        <v>4.930415E7</v>
      </c>
      <c r="B327" s="4" t="s">
        <v>43</v>
      </c>
      <c r="C327" s="4" t="s">
        <v>44</v>
      </c>
      <c r="D327" s="5">
        <v>46054.0</v>
      </c>
      <c r="E327" s="3" t="str">
        <f t="shared" si="1"/>
        <v>Sunday</v>
      </c>
      <c r="F327" s="4" t="str">
        <f t="shared" si="2"/>
        <v>February</v>
      </c>
      <c r="G327" s="3">
        <v>2026.0</v>
      </c>
    </row>
    <row r="328" ht="15.75" customHeight="1">
      <c r="A328" s="3">
        <v>4.8742841E7</v>
      </c>
      <c r="B328" s="4" t="s">
        <v>9</v>
      </c>
      <c r="C328" s="4" t="s">
        <v>10</v>
      </c>
      <c r="D328" s="5">
        <v>46043.0</v>
      </c>
      <c r="E328" s="3" t="str">
        <f t="shared" si="1"/>
        <v>Wednesday</v>
      </c>
      <c r="F328" s="4" t="str">
        <f t="shared" si="2"/>
        <v>January</v>
      </c>
      <c r="G328" s="3">
        <v>2026.0</v>
      </c>
    </row>
    <row r="329" ht="15.75" customHeight="1">
      <c r="A329" s="3">
        <v>4.9888484E7</v>
      </c>
      <c r="B329" s="4" t="s">
        <v>67</v>
      </c>
      <c r="C329" s="4" t="s">
        <v>68</v>
      </c>
      <c r="D329" s="5">
        <v>46064.0</v>
      </c>
      <c r="E329" s="3" t="str">
        <f t="shared" si="1"/>
        <v>Wednesday</v>
      </c>
      <c r="F329" s="4" t="str">
        <f t="shared" si="2"/>
        <v>February</v>
      </c>
      <c r="G329" s="3">
        <v>2026.0</v>
      </c>
    </row>
    <row r="330" ht="15.75" customHeight="1">
      <c r="A330" s="3">
        <v>4.846503E7</v>
      </c>
      <c r="B330" s="4" t="s">
        <v>244</v>
      </c>
      <c r="C330" s="4" t="s">
        <v>245</v>
      </c>
      <c r="D330" s="5">
        <v>46026.0</v>
      </c>
      <c r="E330" s="3" t="str">
        <f t="shared" si="1"/>
        <v>Sunday</v>
      </c>
      <c r="F330" s="4" t="str">
        <f t="shared" si="2"/>
        <v>January</v>
      </c>
      <c r="G330" s="3">
        <v>2026.0</v>
      </c>
    </row>
    <row r="331" ht="15.75" customHeight="1">
      <c r="A331" s="3">
        <v>4.9303287E7</v>
      </c>
      <c r="B331" s="4" t="s">
        <v>246</v>
      </c>
      <c r="C331" s="4" t="s">
        <v>247</v>
      </c>
      <c r="D331" s="5">
        <v>46053.0</v>
      </c>
      <c r="E331" s="3" t="str">
        <f t="shared" si="1"/>
        <v>Saturday</v>
      </c>
      <c r="F331" s="4" t="str">
        <f t="shared" si="2"/>
        <v>January</v>
      </c>
      <c r="G331" s="3">
        <v>2026.0</v>
      </c>
    </row>
    <row r="332" ht="15.75" customHeight="1">
      <c r="A332" s="3">
        <v>4.8675302E7</v>
      </c>
      <c r="B332" s="4" t="s">
        <v>39</v>
      </c>
      <c r="C332" s="4" t="s">
        <v>40</v>
      </c>
      <c r="D332" s="5">
        <v>46038.0</v>
      </c>
      <c r="E332" s="3" t="str">
        <f t="shared" si="1"/>
        <v>Friday</v>
      </c>
      <c r="F332" s="4" t="str">
        <f t="shared" si="2"/>
        <v>January</v>
      </c>
      <c r="G332" s="3">
        <v>2026.0</v>
      </c>
    </row>
    <row r="333" ht="15.75" customHeight="1">
      <c r="A333" s="3">
        <v>4.9888487E7</v>
      </c>
      <c r="B333" s="4" t="s">
        <v>83</v>
      </c>
      <c r="C333" s="4" t="s">
        <v>84</v>
      </c>
      <c r="D333" s="5">
        <v>46064.0</v>
      </c>
      <c r="E333" s="3" t="str">
        <f t="shared" si="1"/>
        <v>Wednesday</v>
      </c>
      <c r="F333" s="4" t="str">
        <f t="shared" si="2"/>
        <v>February</v>
      </c>
      <c r="G333" s="3">
        <v>2026.0</v>
      </c>
    </row>
    <row r="334" ht="15.75" customHeight="1">
      <c r="A334" s="3">
        <v>4.8412823E7</v>
      </c>
      <c r="B334" s="4" t="s">
        <v>248</v>
      </c>
      <c r="C334" s="4" t="s">
        <v>249</v>
      </c>
      <c r="D334" s="5">
        <v>46023.0</v>
      </c>
      <c r="E334" s="3" t="str">
        <f t="shared" si="1"/>
        <v>Thursday</v>
      </c>
      <c r="F334" s="4" t="str">
        <f t="shared" si="2"/>
        <v>January</v>
      </c>
      <c r="G334" s="3">
        <v>2026.0</v>
      </c>
    </row>
    <row r="335" ht="15.75" customHeight="1">
      <c r="A335" s="3">
        <v>4.8995015E7</v>
      </c>
      <c r="B335" s="4" t="s">
        <v>35</v>
      </c>
      <c r="C335" s="4" t="s">
        <v>36</v>
      </c>
      <c r="D335" s="5">
        <v>46045.0</v>
      </c>
      <c r="E335" s="3" t="str">
        <f t="shared" si="1"/>
        <v>Friday</v>
      </c>
      <c r="F335" s="4" t="str">
        <f t="shared" si="2"/>
        <v>January</v>
      </c>
      <c r="G335" s="3">
        <v>2026.0</v>
      </c>
    </row>
    <row r="336" ht="15.75" customHeight="1">
      <c r="A336" s="3">
        <v>5.0020361E7</v>
      </c>
      <c r="B336" s="4" t="s">
        <v>7</v>
      </c>
      <c r="C336" s="4" t="s">
        <v>8</v>
      </c>
      <c r="D336" s="5">
        <v>46067.0</v>
      </c>
      <c r="E336" s="3" t="str">
        <f t="shared" si="1"/>
        <v>Saturday</v>
      </c>
      <c r="F336" s="4" t="str">
        <f t="shared" si="2"/>
        <v>February</v>
      </c>
      <c r="G336" s="3">
        <v>2026.0</v>
      </c>
    </row>
    <row r="337" ht="15.75" customHeight="1">
      <c r="A337" s="3">
        <v>4.8628917E7</v>
      </c>
      <c r="B337" s="4" t="s">
        <v>250</v>
      </c>
      <c r="C337" s="4" t="s">
        <v>251</v>
      </c>
      <c r="D337" s="5">
        <v>46034.0</v>
      </c>
      <c r="E337" s="3" t="str">
        <f t="shared" si="1"/>
        <v>Monday</v>
      </c>
      <c r="F337" s="4" t="str">
        <f t="shared" si="2"/>
        <v>January</v>
      </c>
      <c r="G337" s="3">
        <v>2026.0</v>
      </c>
    </row>
    <row r="338" ht="15.75" customHeight="1">
      <c r="A338" s="3">
        <v>4.8713137E7</v>
      </c>
      <c r="B338" s="4" t="s">
        <v>252</v>
      </c>
      <c r="D338" s="5">
        <v>46041.0</v>
      </c>
      <c r="E338" s="3" t="str">
        <f t="shared" si="1"/>
        <v>Monday</v>
      </c>
      <c r="F338" s="4" t="str">
        <f t="shared" si="2"/>
        <v>January</v>
      </c>
      <c r="G338" s="3">
        <v>2026.0</v>
      </c>
    </row>
    <row r="339" ht="15.75" customHeight="1">
      <c r="A339" s="3">
        <v>4.9724496E7</v>
      </c>
      <c r="B339" s="4" t="s">
        <v>73</v>
      </c>
      <c r="C339" s="4" t="s">
        <v>74</v>
      </c>
      <c r="D339" s="5">
        <v>46050.0</v>
      </c>
      <c r="E339" s="3" t="str">
        <f t="shared" si="1"/>
        <v>Wednesday</v>
      </c>
      <c r="F339" s="4" t="str">
        <f t="shared" si="2"/>
        <v>January</v>
      </c>
      <c r="G339" s="3">
        <v>2026.0</v>
      </c>
    </row>
    <row r="340" ht="15.75" customHeight="1">
      <c r="A340" s="3">
        <v>4.9724554E7</v>
      </c>
      <c r="B340" s="4" t="s">
        <v>39</v>
      </c>
      <c r="C340" s="4" t="s">
        <v>40</v>
      </c>
      <c r="D340" s="5">
        <v>46061.0</v>
      </c>
      <c r="E340" s="3" t="str">
        <f t="shared" si="1"/>
        <v>Sunday</v>
      </c>
      <c r="F340" s="4" t="str">
        <f t="shared" si="2"/>
        <v>February</v>
      </c>
      <c r="G340" s="3">
        <v>2026.0</v>
      </c>
    </row>
    <row r="341" ht="15.75" customHeight="1">
      <c r="A341" s="3">
        <v>5.0326052E7</v>
      </c>
      <c r="B341" s="4" t="s">
        <v>59</v>
      </c>
      <c r="C341" s="4" t="s">
        <v>60</v>
      </c>
      <c r="D341" s="5">
        <v>46075.0</v>
      </c>
      <c r="E341" s="3" t="str">
        <f t="shared" si="1"/>
        <v>Sunday</v>
      </c>
      <c r="F341" s="4" t="str">
        <f t="shared" si="2"/>
        <v>February</v>
      </c>
      <c r="G341" s="3">
        <v>2026.0</v>
      </c>
    </row>
    <row r="342" ht="15.75" customHeight="1">
      <c r="A342" s="3">
        <v>4.9622602E7</v>
      </c>
      <c r="B342" s="4" t="s">
        <v>57</v>
      </c>
      <c r="C342" s="4" t="s">
        <v>58</v>
      </c>
      <c r="D342" s="5">
        <v>46053.0</v>
      </c>
      <c r="E342" s="3" t="str">
        <f t="shared" si="1"/>
        <v>Saturday</v>
      </c>
      <c r="F342" s="4" t="str">
        <f t="shared" si="2"/>
        <v>January</v>
      </c>
      <c r="G342" s="3">
        <v>2026.0</v>
      </c>
    </row>
    <row r="343" ht="15.75" customHeight="1">
      <c r="A343" s="3">
        <v>4.9724559E7</v>
      </c>
      <c r="B343" s="4" t="s">
        <v>79</v>
      </c>
      <c r="C343" s="4" t="s">
        <v>80</v>
      </c>
      <c r="D343" s="5">
        <v>46062.0</v>
      </c>
      <c r="E343" s="3" t="str">
        <f t="shared" si="1"/>
        <v>Monday</v>
      </c>
      <c r="F343" s="4" t="str">
        <f t="shared" si="2"/>
        <v>February</v>
      </c>
      <c r="G343" s="3">
        <v>2026.0</v>
      </c>
    </row>
    <row r="344" ht="15.75" customHeight="1">
      <c r="A344" s="3">
        <v>4.8914263E7</v>
      </c>
      <c r="B344" s="4" t="s">
        <v>100</v>
      </c>
      <c r="C344" s="4" t="s">
        <v>101</v>
      </c>
      <c r="D344" s="5">
        <v>46046.0</v>
      </c>
      <c r="E344" s="3" t="str">
        <f t="shared" si="1"/>
        <v>Saturday</v>
      </c>
      <c r="F344" s="4" t="str">
        <f t="shared" si="2"/>
        <v>January</v>
      </c>
      <c r="G344" s="3">
        <v>2026.0</v>
      </c>
    </row>
    <row r="345" ht="15.75" customHeight="1">
      <c r="A345" s="3">
        <v>4.9298817E7</v>
      </c>
      <c r="B345" s="4" t="s">
        <v>124</v>
      </c>
      <c r="C345" s="4" t="s">
        <v>125</v>
      </c>
      <c r="D345" s="5">
        <v>46053.0</v>
      </c>
      <c r="E345" s="3" t="str">
        <f t="shared" si="1"/>
        <v>Saturday</v>
      </c>
      <c r="F345" s="4" t="str">
        <f t="shared" si="2"/>
        <v>January</v>
      </c>
      <c r="G345" s="3">
        <v>2026.0</v>
      </c>
    </row>
    <row r="346" ht="15.75" customHeight="1">
      <c r="A346" s="3">
        <v>4.930328E7</v>
      </c>
      <c r="B346" s="4" t="s">
        <v>37</v>
      </c>
      <c r="C346" s="4" t="s">
        <v>38</v>
      </c>
      <c r="D346" s="5">
        <v>46053.0</v>
      </c>
      <c r="E346" s="3" t="str">
        <f t="shared" si="1"/>
        <v>Saturday</v>
      </c>
      <c r="F346" s="4" t="str">
        <f t="shared" si="2"/>
        <v>January</v>
      </c>
      <c r="G346" s="3">
        <v>2026.0</v>
      </c>
    </row>
    <row r="347" ht="15.75" customHeight="1">
      <c r="A347" s="3">
        <v>4.9724512E7</v>
      </c>
      <c r="B347" s="4" t="s">
        <v>253</v>
      </c>
      <c r="C347" s="4" t="s">
        <v>254</v>
      </c>
      <c r="D347" s="5">
        <v>46056.0</v>
      </c>
      <c r="E347" s="3" t="str">
        <f t="shared" si="1"/>
        <v>Tuesday</v>
      </c>
      <c r="F347" s="4" t="str">
        <f t="shared" si="2"/>
        <v>February</v>
      </c>
      <c r="G347" s="3">
        <v>2026.0</v>
      </c>
    </row>
    <row r="348" ht="15.75" customHeight="1">
      <c r="A348" s="3">
        <v>4.9888481E7</v>
      </c>
      <c r="B348" s="4" t="s">
        <v>21</v>
      </c>
      <c r="C348" s="4" t="s">
        <v>22</v>
      </c>
      <c r="D348" s="5">
        <v>46064.0</v>
      </c>
      <c r="E348" s="3" t="str">
        <f t="shared" si="1"/>
        <v>Wednesday</v>
      </c>
      <c r="F348" s="4" t="str">
        <f t="shared" si="2"/>
        <v>February</v>
      </c>
      <c r="G348" s="3">
        <v>2026.0</v>
      </c>
    </row>
    <row r="349" ht="15.75" customHeight="1">
      <c r="A349" s="3">
        <v>4.9620075E7</v>
      </c>
      <c r="B349" s="4" t="s">
        <v>169</v>
      </c>
      <c r="C349" s="4" t="s">
        <v>170</v>
      </c>
      <c r="D349" s="5">
        <v>46059.0</v>
      </c>
      <c r="E349" s="3" t="str">
        <f t="shared" si="1"/>
        <v>Friday</v>
      </c>
      <c r="F349" s="4" t="str">
        <f t="shared" si="2"/>
        <v>February</v>
      </c>
      <c r="G349" s="3">
        <v>2026.0</v>
      </c>
    </row>
    <row r="350" ht="15.75" customHeight="1">
      <c r="A350" s="3">
        <v>4.8644716E7</v>
      </c>
      <c r="B350" s="4" t="s">
        <v>255</v>
      </c>
      <c r="C350" s="4" t="s">
        <v>256</v>
      </c>
      <c r="D350" s="5">
        <v>46034.0</v>
      </c>
      <c r="E350" s="3" t="str">
        <f t="shared" si="1"/>
        <v>Monday</v>
      </c>
      <c r="F350" s="4" t="str">
        <f t="shared" si="2"/>
        <v>January</v>
      </c>
      <c r="G350" s="3">
        <v>2026.0</v>
      </c>
    </row>
    <row r="351" ht="15.75" customHeight="1">
      <c r="A351" s="3">
        <v>5.0032426E7</v>
      </c>
      <c r="B351" s="4" t="s">
        <v>118</v>
      </c>
      <c r="C351" s="4" t="s">
        <v>119</v>
      </c>
      <c r="D351" s="5">
        <v>46068.0</v>
      </c>
      <c r="E351" s="3" t="str">
        <f t="shared" si="1"/>
        <v>Sunday</v>
      </c>
      <c r="F351" s="4" t="str">
        <f t="shared" si="2"/>
        <v>February</v>
      </c>
      <c r="G351" s="3">
        <v>2026.0</v>
      </c>
    </row>
    <row r="352" ht="15.75" customHeight="1">
      <c r="A352" s="3">
        <v>4.866726E7</v>
      </c>
      <c r="B352" s="4" t="s">
        <v>242</v>
      </c>
      <c r="C352" s="4" t="s">
        <v>243</v>
      </c>
      <c r="D352" s="5">
        <v>46036.0</v>
      </c>
      <c r="E352" s="3" t="str">
        <f t="shared" si="1"/>
        <v>Wednesday</v>
      </c>
      <c r="F352" s="4" t="str">
        <f t="shared" si="2"/>
        <v>January</v>
      </c>
      <c r="G352" s="3">
        <v>2026.0</v>
      </c>
    </row>
    <row r="353" ht="15.75" customHeight="1">
      <c r="A353" s="3">
        <v>4.8995012E7</v>
      </c>
      <c r="B353" s="4" t="s">
        <v>73</v>
      </c>
      <c r="C353" s="4" t="s">
        <v>74</v>
      </c>
      <c r="D353" s="5">
        <v>46045.0</v>
      </c>
      <c r="E353" s="3" t="str">
        <f t="shared" si="1"/>
        <v>Friday</v>
      </c>
      <c r="F353" s="4" t="str">
        <f t="shared" si="2"/>
        <v>January</v>
      </c>
      <c r="G353" s="3">
        <v>2026.0</v>
      </c>
    </row>
    <row r="354" ht="15.75" customHeight="1">
      <c r="A354" s="3">
        <v>4.9961901E7</v>
      </c>
      <c r="B354" s="4" t="s">
        <v>238</v>
      </c>
      <c r="C354" s="4" t="s">
        <v>239</v>
      </c>
      <c r="D354" s="5">
        <v>46065.0</v>
      </c>
      <c r="E354" s="3" t="str">
        <f t="shared" si="1"/>
        <v>Thursday</v>
      </c>
      <c r="F354" s="4" t="str">
        <f t="shared" si="2"/>
        <v>February</v>
      </c>
      <c r="G354" s="3">
        <v>2026.0</v>
      </c>
    </row>
    <row r="355" ht="15.75" customHeight="1">
      <c r="A355" s="3">
        <v>5.0031441E7</v>
      </c>
      <c r="B355" s="4" t="s">
        <v>257</v>
      </c>
      <c r="C355" s="4" t="s">
        <v>258</v>
      </c>
      <c r="D355" s="5">
        <v>46067.0</v>
      </c>
      <c r="E355" s="3" t="str">
        <f t="shared" si="1"/>
        <v>Saturday</v>
      </c>
      <c r="F355" s="4" t="str">
        <f t="shared" si="2"/>
        <v>February</v>
      </c>
      <c r="G355" s="3">
        <v>2026.0</v>
      </c>
    </row>
    <row r="356" ht="15.75" customHeight="1">
      <c r="A356" s="3">
        <v>4.8712391E7</v>
      </c>
      <c r="B356" s="4" t="s">
        <v>259</v>
      </c>
      <c r="C356" s="4" t="s">
        <v>260</v>
      </c>
      <c r="D356" s="5">
        <v>46041.0</v>
      </c>
      <c r="E356" s="3" t="str">
        <f t="shared" si="1"/>
        <v>Monday</v>
      </c>
      <c r="F356" s="4" t="str">
        <f t="shared" si="2"/>
        <v>January</v>
      </c>
      <c r="G356" s="3">
        <v>2026.0</v>
      </c>
    </row>
    <row r="357" ht="15.75" customHeight="1">
      <c r="A357" s="3">
        <v>5.0084944E7</v>
      </c>
      <c r="B357" s="4" t="s">
        <v>177</v>
      </c>
      <c r="C357" s="4" t="s">
        <v>178</v>
      </c>
      <c r="D357" s="5">
        <v>46071.0</v>
      </c>
      <c r="E357" s="3" t="str">
        <f t="shared" si="1"/>
        <v>Wednesday</v>
      </c>
      <c r="F357" s="4" t="str">
        <f t="shared" si="2"/>
        <v>February</v>
      </c>
      <c r="G357" s="3">
        <v>2026.0</v>
      </c>
    </row>
    <row r="358" ht="15.75" customHeight="1">
      <c r="A358" s="3">
        <v>4.9671663E7</v>
      </c>
      <c r="B358" s="4" t="s">
        <v>39</v>
      </c>
      <c r="C358" s="4" t="s">
        <v>40</v>
      </c>
      <c r="D358" s="5">
        <v>46062.0</v>
      </c>
      <c r="E358" s="3" t="str">
        <f t="shared" si="1"/>
        <v>Monday</v>
      </c>
      <c r="F358" s="4" t="str">
        <f t="shared" si="2"/>
        <v>February</v>
      </c>
      <c r="G358" s="3">
        <v>2026.0</v>
      </c>
    </row>
    <row r="359" ht="15.75" customHeight="1">
      <c r="A359" s="3">
        <v>4.9888488E7</v>
      </c>
      <c r="B359" s="4" t="s">
        <v>7</v>
      </c>
      <c r="C359" s="4" t="s">
        <v>8</v>
      </c>
      <c r="D359" s="5">
        <v>46064.0</v>
      </c>
      <c r="E359" s="3" t="str">
        <f t="shared" si="1"/>
        <v>Wednesday</v>
      </c>
      <c r="F359" s="4" t="str">
        <f t="shared" si="2"/>
        <v>February</v>
      </c>
      <c r="G359" s="3">
        <v>2026.0</v>
      </c>
    </row>
    <row r="360" ht="15.75" customHeight="1">
      <c r="A360" s="3">
        <v>4.9304156E7</v>
      </c>
      <c r="B360" s="4" t="s">
        <v>261</v>
      </c>
      <c r="C360" s="4" t="s">
        <v>262</v>
      </c>
      <c r="D360" s="5">
        <v>46054.0</v>
      </c>
      <c r="E360" s="3" t="str">
        <f t="shared" si="1"/>
        <v>Sunday</v>
      </c>
      <c r="F360" s="4" t="str">
        <f t="shared" si="2"/>
        <v>February</v>
      </c>
      <c r="G360" s="3">
        <v>2026.0</v>
      </c>
    </row>
    <row r="361" ht="15.75" customHeight="1">
      <c r="A361" s="3">
        <v>4.903007E7</v>
      </c>
      <c r="B361" s="4" t="s">
        <v>130</v>
      </c>
      <c r="C361" s="4" t="s">
        <v>131</v>
      </c>
      <c r="D361" s="5">
        <v>46042.0</v>
      </c>
      <c r="E361" s="3" t="str">
        <f t="shared" si="1"/>
        <v>Tuesday</v>
      </c>
      <c r="F361" s="4" t="str">
        <f t="shared" si="2"/>
        <v>January</v>
      </c>
      <c r="G361" s="3">
        <v>2026.0</v>
      </c>
    </row>
    <row r="362" ht="15.75" customHeight="1">
      <c r="A362" s="3">
        <v>4.924992E7</v>
      </c>
      <c r="B362" s="4" t="s">
        <v>43</v>
      </c>
      <c r="C362" s="4" t="s">
        <v>44</v>
      </c>
      <c r="D362" s="5">
        <v>46051.0</v>
      </c>
      <c r="E362" s="3" t="str">
        <f t="shared" si="1"/>
        <v>Thursday</v>
      </c>
      <c r="F362" s="4" t="str">
        <f t="shared" si="2"/>
        <v>January</v>
      </c>
      <c r="G362" s="3">
        <v>2026.0</v>
      </c>
    </row>
    <row r="363" ht="15.75" customHeight="1">
      <c r="A363" s="3">
        <v>4.8722327E7</v>
      </c>
      <c r="B363" s="4" t="s">
        <v>37</v>
      </c>
      <c r="C363" s="4" t="s">
        <v>38</v>
      </c>
      <c r="D363" s="5">
        <v>46042.0</v>
      </c>
      <c r="E363" s="3" t="str">
        <f t="shared" si="1"/>
        <v>Tuesday</v>
      </c>
      <c r="F363" s="4" t="str">
        <f t="shared" si="2"/>
        <v>January</v>
      </c>
      <c r="G363" s="3">
        <v>2026.0</v>
      </c>
    </row>
    <row r="364" ht="15.75" customHeight="1">
      <c r="A364" s="3">
        <v>4.9512908E7</v>
      </c>
      <c r="B364" s="4" t="s">
        <v>73</v>
      </c>
      <c r="C364" s="4" t="s">
        <v>74</v>
      </c>
      <c r="D364" s="5">
        <v>46057.0</v>
      </c>
      <c r="E364" s="3" t="str">
        <f t="shared" si="1"/>
        <v>Wednesday</v>
      </c>
      <c r="F364" s="4" t="str">
        <f t="shared" si="2"/>
        <v>February</v>
      </c>
      <c r="G364" s="3">
        <v>2026.0</v>
      </c>
    </row>
    <row r="365" ht="15.75" customHeight="1">
      <c r="A365" s="3">
        <v>4.8601121E7</v>
      </c>
      <c r="B365" s="4" t="s">
        <v>263</v>
      </c>
      <c r="C365" s="4" t="s">
        <v>264</v>
      </c>
      <c r="D365" s="5">
        <v>46030.0</v>
      </c>
      <c r="E365" s="3" t="str">
        <f t="shared" si="1"/>
        <v>Thursday</v>
      </c>
      <c r="F365" s="4" t="str">
        <f t="shared" si="2"/>
        <v>January</v>
      </c>
      <c r="G365" s="3">
        <v>2026.0</v>
      </c>
    </row>
    <row r="366" ht="15.75" customHeight="1">
      <c r="A366" s="3">
        <v>4.8762751E7</v>
      </c>
      <c r="B366" s="4" t="s">
        <v>160</v>
      </c>
      <c r="C366" s="4" t="s">
        <v>161</v>
      </c>
      <c r="D366" s="5">
        <v>46045.0</v>
      </c>
      <c r="E366" s="3" t="str">
        <f t="shared" si="1"/>
        <v>Friday</v>
      </c>
      <c r="F366" s="4" t="str">
        <f t="shared" si="2"/>
        <v>January</v>
      </c>
      <c r="G366" s="3">
        <v>2026.0</v>
      </c>
    </row>
    <row r="367" ht="15.75" customHeight="1">
      <c r="A367" s="3">
        <v>4.8431366E7</v>
      </c>
      <c r="B367" s="4" t="s">
        <v>55</v>
      </c>
      <c r="C367" s="4" t="s">
        <v>56</v>
      </c>
      <c r="D367" s="5">
        <v>46023.0</v>
      </c>
      <c r="E367" s="3" t="str">
        <f t="shared" si="1"/>
        <v>Thursday</v>
      </c>
      <c r="F367" s="4" t="str">
        <f t="shared" si="2"/>
        <v>January</v>
      </c>
      <c r="G367" s="3">
        <v>2026.0</v>
      </c>
    </row>
    <row r="368" ht="15.75" customHeight="1">
      <c r="A368" s="3">
        <v>5.0026586E7</v>
      </c>
      <c r="B368" s="4" t="s">
        <v>265</v>
      </c>
      <c r="C368" s="4" t="s">
        <v>266</v>
      </c>
      <c r="D368" s="5">
        <v>46066.0</v>
      </c>
      <c r="E368" s="3" t="str">
        <f t="shared" si="1"/>
        <v>Friday</v>
      </c>
      <c r="F368" s="4" t="str">
        <f t="shared" si="2"/>
        <v>February</v>
      </c>
      <c r="G368" s="3">
        <v>2026.0</v>
      </c>
    </row>
    <row r="369" ht="15.75" customHeight="1">
      <c r="A369" s="3">
        <v>4.9298809E7</v>
      </c>
      <c r="B369" s="4" t="s">
        <v>69</v>
      </c>
      <c r="C369" s="4" t="s">
        <v>70</v>
      </c>
      <c r="D369" s="5">
        <v>46053.0</v>
      </c>
      <c r="E369" s="3" t="str">
        <f t="shared" si="1"/>
        <v>Saturday</v>
      </c>
      <c r="F369" s="4" t="str">
        <f t="shared" si="2"/>
        <v>January</v>
      </c>
      <c r="G369" s="3">
        <v>2026.0</v>
      </c>
    </row>
    <row r="370" ht="15.75" customHeight="1">
      <c r="A370" s="3">
        <v>4.9298824E7</v>
      </c>
      <c r="B370" s="4" t="s">
        <v>267</v>
      </c>
      <c r="C370" s="4" t="s">
        <v>268</v>
      </c>
      <c r="D370" s="5">
        <v>46053.0</v>
      </c>
      <c r="E370" s="3" t="str">
        <f t="shared" si="1"/>
        <v>Saturday</v>
      </c>
      <c r="F370" s="4" t="str">
        <f t="shared" si="2"/>
        <v>January</v>
      </c>
      <c r="G370" s="3">
        <v>2026.0</v>
      </c>
    </row>
    <row r="371" ht="15.75" customHeight="1">
      <c r="A371" s="3">
        <v>4.8742842E7</v>
      </c>
      <c r="B371" s="4" t="s">
        <v>130</v>
      </c>
      <c r="C371" s="4" t="s">
        <v>131</v>
      </c>
      <c r="D371" s="5">
        <v>46043.0</v>
      </c>
      <c r="E371" s="3" t="str">
        <f t="shared" si="1"/>
        <v>Wednesday</v>
      </c>
      <c r="F371" s="4" t="str">
        <f t="shared" si="2"/>
        <v>January</v>
      </c>
      <c r="G371" s="3">
        <v>2026.0</v>
      </c>
    </row>
    <row r="372" ht="15.75" customHeight="1">
      <c r="A372" s="3">
        <v>4.9395891E7</v>
      </c>
      <c r="B372" s="4" t="s">
        <v>35</v>
      </c>
      <c r="C372" s="4" t="s">
        <v>36</v>
      </c>
      <c r="D372" s="5">
        <v>46054.0</v>
      </c>
      <c r="E372" s="3" t="str">
        <f t="shared" si="1"/>
        <v>Sunday</v>
      </c>
      <c r="F372" s="4" t="str">
        <f t="shared" si="2"/>
        <v>February</v>
      </c>
      <c r="G372" s="3">
        <v>2026.0</v>
      </c>
    </row>
    <row r="373" ht="15.75" customHeight="1">
      <c r="A373" s="3">
        <v>4.8665828E7</v>
      </c>
      <c r="B373" s="4" t="s">
        <v>39</v>
      </c>
      <c r="C373" s="4" t="s">
        <v>40</v>
      </c>
      <c r="D373" s="5">
        <v>46037.0</v>
      </c>
      <c r="E373" s="3" t="str">
        <f t="shared" si="1"/>
        <v>Thursday</v>
      </c>
      <c r="F373" s="4" t="str">
        <f t="shared" si="2"/>
        <v>January</v>
      </c>
      <c r="G373" s="3">
        <v>2026.0</v>
      </c>
    </row>
    <row r="374" ht="15.75" customHeight="1">
      <c r="A374" s="3">
        <v>4.9381976E7</v>
      </c>
      <c r="B374" s="4" t="s">
        <v>7</v>
      </c>
      <c r="C374" s="4" t="s">
        <v>8</v>
      </c>
      <c r="D374" s="5">
        <v>46055.0</v>
      </c>
      <c r="E374" s="3" t="str">
        <f t="shared" si="1"/>
        <v>Monday</v>
      </c>
      <c r="F374" s="4" t="str">
        <f t="shared" si="2"/>
        <v>February</v>
      </c>
      <c r="G374" s="3">
        <v>2026.0</v>
      </c>
    </row>
    <row r="375" ht="15.75" customHeight="1">
      <c r="A375" s="3">
        <v>4.9395884E7</v>
      </c>
      <c r="B375" s="4" t="s">
        <v>51</v>
      </c>
      <c r="C375" s="4" t="s">
        <v>52</v>
      </c>
      <c r="D375" s="5">
        <v>46053.0</v>
      </c>
      <c r="E375" s="3" t="str">
        <f t="shared" si="1"/>
        <v>Saturday</v>
      </c>
      <c r="F375" s="4" t="str">
        <f t="shared" si="2"/>
        <v>January</v>
      </c>
      <c r="G375" s="3">
        <v>2026.0</v>
      </c>
    </row>
    <row r="376" ht="15.75" customHeight="1">
      <c r="A376" s="3">
        <v>4.9603675E7</v>
      </c>
      <c r="B376" s="4" t="s">
        <v>81</v>
      </c>
      <c r="C376" s="4" t="s">
        <v>82</v>
      </c>
      <c r="D376" s="5">
        <v>46059.0</v>
      </c>
      <c r="E376" s="3" t="str">
        <f t="shared" si="1"/>
        <v>Friday</v>
      </c>
      <c r="F376" s="4" t="str">
        <f t="shared" si="2"/>
        <v>February</v>
      </c>
      <c r="G376" s="3">
        <v>2026.0</v>
      </c>
    </row>
    <row r="377" ht="15.75" customHeight="1">
      <c r="A377" s="3"/>
      <c r="D377" s="5"/>
      <c r="E377" s="3"/>
      <c r="G377" s="3"/>
    </row>
    <row r="378" ht="15.75" customHeight="1">
      <c r="A378" s="3"/>
      <c r="D378" s="5"/>
      <c r="E378" s="3"/>
      <c r="G378" s="3"/>
    </row>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3.5"/>
    <col customWidth="1" min="3" max="3" width="23.13"/>
    <col customWidth="1" min="4" max="6" width="12.63"/>
  </cols>
  <sheetData>
    <row r="1" ht="15.75" customHeight="1">
      <c r="A1" s="6" t="s">
        <v>0</v>
      </c>
      <c r="B1" s="6" t="s">
        <v>1</v>
      </c>
      <c r="C1" s="6" t="s">
        <v>2</v>
      </c>
      <c r="D1" s="7" t="s">
        <v>3</v>
      </c>
      <c r="E1" s="6" t="s">
        <v>4</v>
      </c>
      <c r="F1" s="6" t="s">
        <v>5</v>
      </c>
      <c r="G1" s="6"/>
      <c r="H1" s="6"/>
      <c r="I1" s="6"/>
      <c r="J1" s="6"/>
      <c r="K1" s="6"/>
      <c r="L1" s="6"/>
      <c r="M1" s="6"/>
      <c r="N1" s="6"/>
      <c r="O1" s="6"/>
      <c r="P1" s="6"/>
      <c r="Q1" s="6"/>
      <c r="R1" s="6"/>
      <c r="S1" s="6"/>
      <c r="T1" s="6"/>
      <c r="U1" s="6"/>
      <c r="V1" s="6"/>
    </row>
    <row r="2" ht="15.75" customHeight="1">
      <c r="A2" s="4">
        <v>4.951291E7</v>
      </c>
      <c r="B2" s="4" t="s">
        <v>7</v>
      </c>
      <c r="C2" s="4" t="s">
        <v>8</v>
      </c>
      <c r="D2" s="5">
        <v>46057.0</v>
      </c>
      <c r="E2" s="4" t="s">
        <v>269</v>
      </c>
      <c r="F2" s="4" t="s">
        <v>270</v>
      </c>
    </row>
    <row r="3" ht="15.75" customHeight="1">
      <c r="A3" s="4">
        <v>4.8742392E7</v>
      </c>
      <c r="B3" s="4" t="s">
        <v>9</v>
      </c>
      <c r="C3" s="4" t="s">
        <v>10</v>
      </c>
      <c r="D3" s="5">
        <v>46044.0</v>
      </c>
      <c r="E3" s="4" t="s">
        <v>271</v>
      </c>
      <c r="F3" s="4" t="s">
        <v>272</v>
      </c>
    </row>
    <row r="4" ht="15.75" customHeight="1">
      <c r="A4" s="4">
        <v>4.8412817E7</v>
      </c>
      <c r="B4" s="4" t="s">
        <v>11</v>
      </c>
      <c r="C4" s="4" t="s">
        <v>12</v>
      </c>
      <c r="D4" s="5">
        <v>46023.0</v>
      </c>
      <c r="E4" s="4" t="s">
        <v>271</v>
      </c>
      <c r="F4" s="4" t="s">
        <v>272</v>
      </c>
    </row>
    <row r="5" ht="15.75" customHeight="1">
      <c r="A5" s="4">
        <v>4.9622603E7</v>
      </c>
      <c r="B5" s="4" t="s">
        <v>13</v>
      </c>
      <c r="C5" s="4" t="s">
        <v>14</v>
      </c>
      <c r="D5" s="5">
        <v>46053.0</v>
      </c>
      <c r="E5" s="4" t="s">
        <v>273</v>
      </c>
      <c r="F5" s="4" t="s">
        <v>272</v>
      </c>
    </row>
    <row r="6" ht="15.75" customHeight="1">
      <c r="A6" s="4">
        <v>4.9304161E7</v>
      </c>
      <c r="B6" s="4" t="s">
        <v>15</v>
      </c>
      <c r="C6" s="4" t="s">
        <v>16</v>
      </c>
      <c r="D6" s="5">
        <v>46054.0</v>
      </c>
      <c r="E6" s="4" t="s">
        <v>274</v>
      </c>
      <c r="F6" s="4" t="s">
        <v>270</v>
      </c>
    </row>
    <row r="7" ht="15.75" customHeight="1">
      <c r="A7" s="4">
        <v>4.9724511E7</v>
      </c>
      <c r="B7" s="4" t="s">
        <v>17</v>
      </c>
      <c r="C7" s="4" t="s">
        <v>18</v>
      </c>
      <c r="D7" s="5">
        <v>46056.0</v>
      </c>
      <c r="E7" s="4" t="s">
        <v>275</v>
      </c>
      <c r="F7" s="4" t="s">
        <v>270</v>
      </c>
    </row>
    <row r="8" ht="15.75" customHeight="1">
      <c r="A8" s="4">
        <v>4.8902693E7</v>
      </c>
      <c r="B8" s="4" t="s">
        <v>19</v>
      </c>
      <c r="C8" s="4" t="s">
        <v>20</v>
      </c>
      <c r="D8" s="5">
        <v>46048.0</v>
      </c>
      <c r="E8" s="4" t="s">
        <v>276</v>
      </c>
      <c r="F8" s="4" t="s">
        <v>272</v>
      </c>
    </row>
    <row r="9" ht="15.75" customHeight="1">
      <c r="A9" s="4">
        <v>4.9395895E7</v>
      </c>
      <c r="B9" s="4" t="s">
        <v>21</v>
      </c>
      <c r="C9" s="4" t="s">
        <v>22</v>
      </c>
      <c r="D9" s="5">
        <v>46055.0</v>
      </c>
      <c r="E9" s="4" t="s">
        <v>276</v>
      </c>
      <c r="F9" s="4" t="s">
        <v>270</v>
      </c>
    </row>
    <row r="10" ht="15.75" customHeight="1">
      <c r="A10" s="4">
        <v>4.8601122E7</v>
      </c>
      <c r="B10" s="4" t="s">
        <v>23</v>
      </c>
      <c r="C10" s="4" t="s">
        <v>24</v>
      </c>
      <c r="D10" s="5">
        <v>46030.0</v>
      </c>
      <c r="E10" s="4" t="s">
        <v>271</v>
      </c>
      <c r="F10" s="4" t="s">
        <v>272</v>
      </c>
    </row>
    <row r="11" ht="15.75" customHeight="1">
      <c r="A11" s="4">
        <v>4.9622601E7</v>
      </c>
      <c r="B11" s="4" t="s">
        <v>25</v>
      </c>
      <c r="C11" s="4" t="s">
        <v>26</v>
      </c>
      <c r="D11" s="5">
        <v>46053.0</v>
      </c>
      <c r="E11" s="4" t="s">
        <v>273</v>
      </c>
      <c r="F11" s="4" t="s">
        <v>272</v>
      </c>
    </row>
    <row r="12" ht="15.75" customHeight="1">
      <c r="A12" s="4">
        <v>4.9888486E7</v>
      </c>
      <c r="B12" s="4" t="s">
        <v>27</v>
      </c>
      <c r="C12" s="4" t="s">
        <v>28</v>
      </c>
      <c r="D12" s="5">
        <v>46064.0</v>
      </c>
      <c r="E12" s="4" t="s">
        <v>269</v>
      </c>
      <c r="F12" s="4" t="s">
        <v>270</v>
      </c>
    </row>
    <row r="13" ht="15.75" customHeight="1">
      <c r="A13" s="4">
        <v>4.8665831E7</v>
      </c>
      <c r="B13" s="4" t="s">
        <v>29</v>
      </c>
      <c r="C13" s="4" t="s">
        <v>30</v>
      </c>
      <c r="D13" s="5">
        <v>46037.0</v>
      </c>
      <c r="E13" s="4" t="s">
        <v>271</v>
      </c>
      <c r="F13" s="4" t="s">
        <v>272</v>
      </c>
    </row>
    <row r="14" ht="15.75" customHeight="1">
      <c r="A14" s="4">
        <v>4.9382841E7</v>
      </c>
      <c r="B14" s="4" t="s">
        <v>31</v>
      </c>
      <c r="C14" s="4" t="s">
        <v>32</v>
      </c>
      <c r="D14" s="5">
        <v>46054.0</v>
      </c>
      <c r="E14" s="4" t="s">
        <v>274</v>
      </c>
      <c r="F14" s="4" t="s">
        <v>270</v>
      </c>
    </row>
    <row r="15" ht="15.75" customHeight="1">
      <c r="A15" s="4">
        <v>4.9512914E7</v>
      </c>
      <c r="B15" s="4" t="s">
        <v>33</v>
      </c>
      <c r="C15" s="4" t="s">
        <v>34</v>
      </c>
      <c r="D15" s="5">
        <v>46057.0</v>
      </c>
      <c r="E15" s="4" t="s">
        <v>269</v>
      </c>
      <c r="F15" s="4" t="s">
        <v>270</v>
      </c>
    </row>
    <row r="16" ht="15.75" customHeight="1">
      <c r="A16" s="4">
        <v>4.9724557E7</v>
      </c>
      <c r="B16" s="4" t="s">
        <v>35</v>
      </c>
      <c r="C16" s="4" t="s">
        <v>36</v>
      </c>
      <c r="D16" s="5">
        <v>46062.0</v>
      </c>
      <c r="E16" s="4" t="s">
        <v>276</v>
      </c>
      <c r="F16" s="4" t="s">
        <v>270</v>
      </c>
    </row>
    <row r="17" ht="15.75" customHeight="1">
      <c r="A17" s="4">
        <v>4.9724499E7</v>
      </c>
      <c r="B17" s="4" t="s">
        <v>37</v>
      </c>
      <c r="C17" s="4" t="s">
        <v>38</v>
      </c>
      <c r="D17" s="5">
        <v>46050.0</v>
      </c>
      <c r="E17" s="4" t="s">
        <v>269</v>
      </c>
      <c r="F17" s="4" t="s">
        <v>272</v>
      </c>
    </row>
    <row r="18" ht="15.75" customHeight="1">
      <c r="A18" s="4">
        <v>4.9303987E7</v>
      </c>
      <c r="B18" s="4" t="s">
        <v>39</v>
      </c>
      <c r="C18" s="4" t="s">
        <v>40</v>
      </c>
      <c r="D18" s="5">
        <v>46054.0</v>
      </c>
      <c r="E18" s="4" t="s">
        <v>274</v>
      </c>
      <c r="F18" s="4" t="s">
        <v>270</v>
      </c>
    </row>
    <row r="19" ht="15.75" customHeight="1">
      <c r="A19" s="4">
        <v>4.9724521E7</v>
      </c>
      <c r="B19" s="4" t="s">
        <v>39</v>
      </c>
      <c r="C19" s="4" t="s">
        <v>40</v>
      </c>
      <c r="D19" s="5">
        <v>46057.0</v>
      </c>
      <c r="E19" s="4" t="s">
        <v>269</v>
      </c>
      <c r="F19" s="4" t="s">
        <v>270</v>
      </c>
    </row>
    <row r="20" ht="15.75" customHeight="1">
      <c r="A20" s="4">
        <v>4.8660706E7</v>
      </c>
      <c r="B20" s="4" t="s">
        <v>41</v>
      </c>
      <c r="C20" s="4" t="s">
        <v>42</v>
      </c>
      <c r="D20" s="5">
        <v>46037.0</v>
      </c>
      <c r="E20" s="4" t="s">
        <v>271</v>
      </c>
      <c r="F20" s="4" t="s">
        <v>272</v>
      </c>
    </row>
    <row r="21" ht="15.75" customHeight="1">
      <c r="A21" s="4">
        <v>4.9245976E7</v>
      </c>
      <c r="B21" s="4" t="s">
        <v>43</v>
      </c>
      <c r="C21" s="4" t="s">
        <v>44</v>
      </c>
      <c r="D21" s="5">
        <v>46052.0</v>
      </c>
      <c r="E21" s="4" t="s">
        <v>277</v>
      </c>
      <c r="F21" s="4" t="s">
        <v>272</v>
      </c>
    </row>
    <row r="22" ht="15.75" customHeight="1">
      <c r="A22" s="4">
        <v>4.843598E7</v>
      </c>
      <c r="B22" s="4" t="s">
        <v>45</v>
      </c>
      <c r="C22" s="4" t="s">
        <v>46</v>
      </c>
      <c r="D22" s="5">
        <v>46025.0</v>
      </c>
      <c r="E22" s="4" t="s">
        <v>273</v>
      </c>
      <c r="F22" s="4" t="s">
        <v>272</v>
      </c>
    </row>
    <row r="23" ht="15.75" customHeight="1">
      <c r="A23" s="4">
        <v>4.860113E7</v>
      </c>
      <c r="B23" s="4" t="s">
        <v>47</v>
      </c>
      <c r="C23" s="4" t="s">
        <v>48</v>
      </c>
      <c r="D23" s="5">
        <v>46030.0</v>
      </c>
      <c r="E23" s="4" t="s">
        <v>271</v>
      </c>
      <c r="F23" s="4" t="s">
        <v>272</v>
      </c>
    </row>
    <row r="24" ht="15.75" customHeight="1">
      <c r="A24" s="4">
        <v>4.9304151E7</v>
      </c>
      <c r="B24" s="4" t="s">
        <v>49</v>
      </c>
      <c r="C24" s="4" t="s">
        <v>50</v>
      </c>
      <c r="D24" s="5">
        <v>46054.0</v>
      </c>
      <c r="E24" s="4" t="s">
        <v>274</v>
      </c>
      <c r="F24" s="4" t="s">
        <v>270</v>
      </c>
    </row>
    <row r="25" ht="15.75" customHeight="1">
      <c r="A25" s="4">
        <v>4.930514E7</v>
      </c>
      <c r="B25" s="4" t="s">
        <v>51</v>
      </c>
      <c r="C25" s="4" t="s">
        <v>52</v>
      </c>
      <c r="D25" s="5">
        <v>46053.0</v>
      </c>
      <c r="E25" s="4" t="s">
        <v>273</v>
      </c>
      <c r="F25" s="4" t="s">
        <v>272</v>
      </c>
    </row>
    <row r="26" ht="15.75" customHeight="1">
      <c r="A26" s="4">
        <v>4.9962486E7</v>
      </c>
      <c r="B26" s="4" t="s">
        <v>39</v>
      </c>
      <c r="C26" s="4" t="s">
        <v>40</v>
      </c>
      <c r="D26" s="5">
        <v>46065.0</v>
      </c>
      <c r="E26" s="4" t="s">
        <v>271</v>
      </c>
      <c r="F26" s="4" t="s">
        <v>270</v>
      </c>
    </row>
    <row r="27" ht="15.75" customHeight="1">
      <c r="A27" s="4">
        <v>4.8601125E7</v>
      </c>
      <c r="B27" s="4" t="s">
        <v>53</v>
      </c>
      <c r="C27" s="4" t="s">
        <v>54</v>
      </c>
      <c r="D27" s="5">
        <v>46030.0</v>
      </c>
      <c r="E27" s="4" t="s">
        <v>271</v>
      </c>
      <c r="F27" s="4" t="s">
        <v>272</v>
      </c>
    </row>
    <row r="28" ht="15.75" customHeight="1">
      <c r="A28" s="4">
        <v>4.938284E7</v>
      </c>
      <c r="B28" s="4" t="s">
        <v>39</v>
      </c>
      <c r="C28" s="4" t="s">
        <v>40</v>
      </c>
      <c r="D28" s="5">
        <v>46054.0</v>
      </c>
      <c r="E28" s="4" t="s">
        <v>274</v>
      </c>
      <c r="F28" s="4" t="s">
        <v>270</v>
      </c>
    </row>
    <row r="29" ht="15.75" customHeight="1">
      <c r="A29" s="4">
        <v>5.0031442E7</v>
      </c>
      <c r="B29" s="4" t="s">
        <v>13</v>
      </c>
      <c r="C29" s="4" t="s">
        <v>14</v>
      </c>
      <c r="D29" s="5">
        <v>46067.0</v>
      </c>
      <c r="E29" s="4" t="s">
        <v>273</v>
      </c>
      <c r="F29" s="4" t="s">
        <v>270</v>
      </c>
    </row>
    <row r="30" ht="15.75" customHeight="1">
      <c r="A30" s="4">
        <v>4.8712588E7</v>
      </c>
      <c r="B30" s="4" t="s">
        <v>9</v>
      </c>
      <c r="C30" s="4" t="s">
        <v>10</v>
      </c>
      <c r="D30" s="5">
        <v>46041.0</v>
      </c>
      <c r="E30" s="4" t="s">
        <v>276</v>
      </c>
      <c r="F30" s="4" t="s">
        <v>272</v>
      </c>
    </row>
    <row r="31" ht="15.75" customHeight="1">
      <c r="A31" s="4">
        <v>4.9298829E7</v>
      </c>
      <c r="B31" s="4" t="s">
        <v>7</v>
      </c>
      <c r="C31" s="4" t="s">
        <v>8</v>
      </c>
      <c r="D31" s="5">
        <v>46053.0</v>
      </c>
      <c r="E31" s="4" t="s">
        <v>273</v>
      </c>
      <c r="F31" s="4" t="s">
        <v>272</v>
      </c>
    </row>
    <row r="32" ht="15.75" customHeight="1">
      <c r="A32" s="4">
        <v>4.9961941E7</v>
      </c>
      <c r="B32" s="4" t="s">
        <v>43</v>
      </c>
      <c r="C32" s="4" t="s">
        <v>44</v>
      </c>
      <c r="D32" s="5">
        <v>46065.0</v>
      </c>
      <c r="E32" s="4" t="s">
        <v>271</v>
      </c>
      <c r="F32" s="4" t="s">
        <v>270</v>
      </c>
    </row>
    <row r="33" ht="15.75" customHeight="1">
      <c r="A33" s="4">
        <v>5.003231E7</v>
      </c>
      <c r="B33" s="4" t="s">
        <v>17</v>
      </c>
      <c r="C33" s="4" t="s">
        <v>18</v>
      </c>
      <c r="D33" s="5">
        <v>46068.0</v>
      </c>
      <c r="E33" s="4" t="s">
        <v>274</v>
      </c>
      <c r="F33" s="4" t="s">
        <v>270</v>
      </c>
    </row>
    <row r="34" ht="15.75" customHeight="1">
      <c r="A34" s="4">
        <v>4.8654956E7</v>
      </c>
      <c r="B34" s="4" t="s">
        <v>55</v>
      </c>
      <c r="C34" s="4" t="s">
        <v>56</v>
      </c>
      <c r="D34" s="5">
        <v>46032.0</v>
      </c>
      <c r="E34" s="4" t="s">
        <v>273</v>
      </c>
      <c r="F34" s="4" t="s">
        <v>272</v>
      </c>
    </row>
    <row r="35" ht="15.75" customHeight="1">
      <c r="A35" s="4">
        <v>4.8995014E7</v>
      </c>
      <c r="B35" s="4" t="s">
        <v>21</v>
      </c>
      <c r="C35" s="4" t="s">
        <v>22</v>
      </c>
      <c r="D35" s="5">
        <v>46045.0</v>
      </c>
      <c r="E35" s="4" t="s">
        <v>277</v>
      </c>
      <c r="F35" s="4" t="s">
        <v>272</v>
      </c>
    </row>
    <row r="36" ht="15.75" customHeight="1">
      <c r="A36" s="4">
        <v>4.9888485E7</v>
      </c>
      <c r="B36" s="4" t="s">
        <v>9</v>
      </c>
      <c r="C36" s="4" t="s">
        <v>10</v>
      </c>
      <c r="D36" s="5">
        <v>46064.0</v>
      </c>
      <c r="E36" s="4" t="s">
        <v>269</v>
      </c>
      <c r="F36" s="4" t="s">
        <v>270</v>
      </c>
    </row>
    <row r="37" ht="15.75" customHeight="1">
      <c r="A37" s="4">
        <v>4.9297869E7</v>
      </c>
      <c r="B37" s="4" t="s">
        <v>57</v>
      </c>
      <c r="C37" s="4" t="s">
        <v>58</v>
      </c>
      <c r="D37" s="5">
        <v>46053.0</v>
      </c>
      <c r="E37" s="4" t="s">
        <v>273</v>
      </c>
      <c r="F37" s="4" t="s">
        <v>272</v>
      </c>
    </row>
    <row r="38" ht="15.75" customHeight="1">
      <c r="A38" s="4">
        <v>5.0031445E7</v>
      </c>
      <c r="B38" s="4" t="s">
        <v>59</v>
      </c>
      <c r="C38" s="4" t="s">
        <v>60</v>
      </c>
      <c r="D38" s="5">
        <v>46067.0</v>
      </c>
      <c r="E38" s="4" t="s">
        <v>273</v>
      </c>
      <c r="F38" s="4" t="s">
        <v>270</v>
      </c>
    </row>
    <row r="39" ht="15.75" customHeight="1">
      <c r="A39" s="4">
        <v>5.0032446E7</v>
      </c>
      <c r="B39" s="4" t="s">
        <v>61</v>
      </c>
      <c r="C39" s="4" t="s">
        <v>62</v>
      </c>
      <c r="D39" s="5">
        <v>46068.0</v>
      </c>
      <c r="E39" s="4" t="s">
        <v>274</v>
      </c>
      <c r="F39" s="4" t="s">
        <v>270</v>
      </c>
    </row>
    <row r="40" ht="15.75" customHeight="1">
      <c r="A40" s="4">
        <v>4.967166E7</v>
      </c>
      <c r="B40" s="4" t="s">
        <v>31</v>
      </c>
      <c r="C40" s="4" t="s">
        <v>32</v>
      </c>
      <c r="D40" s="5">
        <v>46062.0</v>
      </c>
      <c r="E40" s="4" t="s">
        <v>276</v>
      </c>
      <c r="F40" s="4" t="s">
        <v>270</v>
      </c>
    </row>
    <row r="41" ht="15.75" customHeight="1">
      <c r="A41" s="4">
        <v>4.8431505E7</v>
      </c>
      <c r="B41" s="4" t="s">
        <v>55</v>
      </c>
      <c r="C41" s="4" t="s">
        <v>56</v>
      </c>
      <c r="D41" s="5">
        <v>46023.0</v>
      </c>
      <c r="E41" s="4" t="s">
        <v>271</v>
      </c>
      <c r="F41" s="4" t="s">
        <v>272</v>
      </c>
    </row>
    <row r="42" ht="15.75" customHeight="1">
      <c r="A42" s="4">
        <v>4.9298509E7</v>
      </c>
      <c r="B42" s="4" t="s">
        <v>21</v>
      </c>
      <c r="C42" s="4" t="s">
        <v>22</v>
      </c>
      <c r="D42" s="5">
        <v>46053.0</v>
      </c>
      <c r="E42" s="4" t="s">
        <v>273</v>
      </c>
      <c r="F42" s="4" t="s">
        <v>272</v>
      </c>
    </row>
    <row r="43" ht="15.75" customHeight="1">
      <c r="A43" s="4">
        <v>4.9512699E7</v>
      </c>
      <c r="B43" s="4" t="s">
        <v>63</v>
      </c>
      <c r="C43" s="4" t="s">
        <v>64</v>
      </c>
      <c r="D43" s="5">
        <v>46057.0</v>
      </c>
      <c r="E43" s="4" t="s">
        <v>269</v>
      </c>
      <c r="F43" s="4" t="s">
        <v>270</v>
      </c>
    </row>
    <row r="44" ht="15.75" customHeight="1">
      <c r="A44" s="4">
        <v>4.9301458E7</v>
      </c>
      <c r="B44" s="4" t="s">
        <v>65</v>
      </c>
      <c r="C44" s="4" t="s">
        <v>66</v>
      </c>
      <c r="D44" s="5">
        <v>46053.0</v>
      </c>
      <c r="E44" s="4" t="s">
        <v>273</v>
      </c>
      <c r="F44" s="4" t="s">
        <v>272</v>
      </c>
    </row>
    <row r="45" ht="15.75" customHeight="1">
      <c r="A45" s="4">
        <v>4.9622604E7</v>
      </c>
      <c r="B45" s="4" t="s">
        <v>59</v>
      </c>
      <c r="C45" s="4" t="s">
        <v>60</v>
      </c>
      <c r="D45" s="5">
        <v>46053.0</v>
      </c>
      <c r="E45" s="4" t="s">
        <v>273</v>
      </c>
      <c r="F45" s="4" t="s">
        <v>272</v>
      </c>
    </row>
    <row r="46" ht="15.75" customHeight="1">
      <c r="A46" s="4">
        <v>4.8741153E7</v>
      </c>
      <c r="B46" s="4" t="s">
        <v>67</v>
      </c>
      <c r="C46" s="4" t="s">
        <v>68</v>
      </c>
      <c r="D46" s="5">
        <v>46044.0</v>
      </c>
      <c r="E46" s="4" t="s">
        <v>271</v>
      </c>
      <c r="F46" s="4" t="s">
        <v>272</v>
      </c>
    </row>
    <row r="47" ht="15.75" customHeight="1">
      <c r="A47" s="4">
        <v>4.9962482E7</v>
      </c>
      <c r="B47" s="4" t="s">
        <v>21</v>
      </c>
      <c r="C47" s="4" t="s">
        <v>22</v>
      </c>
      <c r="D47" s="5">
        <v>46065.0</v>
      </c>
      <c r="E47" s="4" t="s">
        <v>271</v>
      </c>
      <c r="F47" s="4" t="s">
        <v>270</v>
      </c>
    </row>
    <row r="48" ht="15.75" customHeight="1">
      <c r="A48" s="4">
        <v>5.0192006E7</v>
      </c>
      <c r="B48" s="4" t="s">
        <v>59</v>
      </c>
      <c r="C48" s="4" t="s">
        <v>60</v>
      </c>
      <c r="D48" s="5">
        <v>46073.0</v>
      </c>
      <c r="E48" s="4" t="s">
        <v>277</v>
      </c>
      <c r="F48" s="4" t="s">
        <v>270</v>
      </c>
    </row>
    <row r="49" ht="15.75" customHeight="1">
      <c r="A49" s="4">
        <v>4.8653539E7</v>
      </c>
      <c r="B49" s="4" t="s">
        <v>69</v>
      </c>
      <c r="C49" s="4" t="s">
        <v>70</v>
      </c>
      <c r="D49" s="5">
        <v>46036.0</v>
      </c>
      <c r="E49" s="4" t="s">
        <v>269</v>
      </c>
      <c r="F49" s="4" t="s">
        <v>272</v>
      </c>
    </row>
    <row r="50" ht="15.75" customHeight="1">
      <c r="A50" s="4">
        <v>4.8660707E7</v>
      </c>
      <c r="B50" s="4" t="s">
        <v>71</v>
      </c>
      <c r="C50" s="4" t="s">
        <v>72</v>
      </c>
      <c r="D50" s="5">
        <v>46037.0</v>
      </c>
      <c r="E50" s="4" t="s">
        <v>271</v>
      </c>
      <c r="F50" s="4" t="s">
        <v>272</v>
      </c>
    </row>
    <row r="51" ht="15.75" customHeight="1">
      <c r="A51" s="4">
        <v>4.9620068E7</v>
      </c>
      <c r="B51" s="4" t="s">
        <v>73</v>
      </c>
      <c r="C51" s="4" t="s">
        <v>74</v>
      </c>
      <c r="D51" s="5">
        <v>46059.0</v>
      </c>
      <c r="E51" s="4" t="s">
        <v>277</v>
      </c>
      <c r="F51" s="4" t="s">
        <v>270</v>
      </c>
    </row>
    <row r="52" ht="15.75" customHeight="1">
      <c r="A52" s="4">
        <v>4.9620071E7</v>
      </c>
      <c r="B52" s="4" t="s">
        <v>37</v>
      </c>
      <c r="C52" s="4" t="s">
        <v>38</v>
      </c>
      <c r="D52" s="5">
        <v>46059.0</v>
      </c>
      <c r="E52" s="4" t="s">
        <v>277</v>
      </c>
      <c r="F52" s="4" t="s">
        <v>270</v>
      </c>
    </row>
    <row r="53" ht="15.75" customHeight="1">
      <c r="A53" s="4">
        <v>4.9620081E7</v>
      </c>
      <c r="B53" s="4" t="s">
        <v>75</v>
      </c>
      <c r="C53" s="4" t="s">
        <v>76</v>
      </c>
      <c r="D53" s="5">
        <v>46059.0</v>
      </c>
      <c r="E53" s="4" t="s">
        <v>277</v>
      </c>
      <c r="F53" s="4" t="s">
        <v>270</v>
      </c>
    </row>
    <row r="54" ht="15.75" customHeight="1">
      <c r="A54" s="4">
        <v>4.9512902E7</v>
      </c>
      <c r="B54" s="4" t="s">
        <v>67</v>
      </c>
      <c r="C54" s="4" t="s">
        <v>68</v>
      </c>
      <c r="D54" s="5">
        <v>46057.0</v>
      </c>
      <c r="E54" s="4" t="s">
        <v>269</v>
      </c>
      <c r="F54" s="4" t="s">
        <v>270</v>
      </c>
    </row>
    <row r="55" ht="15.75" customHeight="1">
      <c r="A55" s="4">
        <v>4.8617328E7</v>
      </c>
      <c r="B55" s="4" t="s">
        <v>17</v>
      </c>
      <c r="C55" s="4" t="s">
        <v>18</v>
      </c>
      <c r="D55" s="5">
        <v>46032.0</v>
      </c>
      <c r="E55" s="4" t="s">
        <v>273</v>
      </c>
      <c r="F55" s="4" t="s">
        <v>272</v>
      </c>
    </row>
    <row r="56" ht="15.75" customHeight="1">
      <c r="A56" s="4">
        <v>4.9886861E7</v>
      </c>
      <c r="B56" s="4" t="s">
        <v>77</v>
      </c>
      <c r="C56" s="4" t="s">
        <v>78</v>
      </c>
      <c r="D56" s="5">
        <v>46038.0</v>
      </c>
      <c r="E56" s="4" t="s">
        <v>277</v>
      </c>
      <c r="F56" s="4" t="s">
        <v>272</v>
      </c>
    </row>
    <row r="57" ht="15.75" customHeight="1">
      <c r="A57" s="4">
        <v>4.9304206E7</v>
      </c>
      <c r="B57" s="4" t="s">
        <v>27</v>
      </c>
      <c r="C57" s="4" t="s">
        <v>28</v>
      </c>
      <c r="D57" s="5">
        <v>46054.0</v>
      </c>
      <c r="E57" s="4" t="s">
        <v>274</v>
      </c>
      <c r="F57" s="4" t="s">
        <v>270</v>
      </c>
    </row>
    <row r="58" ht="15.75" customHeight="1">
      <c r="A58" s="4">
        <v>4.8605645E7</v>
      </c>
      <c r="B58" s="4" t="s">
        <v>59</v>
      </c>
      <c r="C58" s="4" t="s">
        <v>60</v>
      </c>
      <c r="D58" s="5">
        <v>46031.0</v>
      </c>
      <c r="E58" s="4" t="s">
        <v>277</v>
      </c>
      <c r="F58" s="4" t="s">
        <v>272</v>
      </c>
    </row>
    <row r="59" ht="15.75" customHeight="1">
      <c r="A59" s="4">
        <v>4.8667259E7</v>
      </c>
      <c r="B59" s="4" t="s">
        <v>79</v>
      </c>
      <c r="C59" s="4" t="s">
        <v>80</v>
      </c>
      <c r="D59" s="5">
        <v>46036.0</v>
      </c>
      <c r="E59" s="4" t="s">
        <v>269</v>
      </c>
      <c r="F59" s="4" t="s">
        <v>272</v>
      </c>
    </row>
    <row r="60" ht="15.75" customHeight="1">
      <c r="A60" s="4">
        <v>4.9603675E7</v>
      </c>
      <c r="B60" s="4" t="s">
        <v>81</v>
      </c>
      <c r="C60" s="4" t="s">
        <v>82</v>
      </c>
      <c r="D60" s="5">
        <v>46059.0</v>
      </c>
      <c r="E60" s="4" t="s">
        <v>277</v>
      </c>
      <c r="F60" s="4" t="s">
        <v>270</v>
      </c>
    </row>
    <row r="61" ht="15.75" customHeight="1">
      <c r="A61" s="4">
        <v>4.8741205E7</v>
      </c>
      <c r="B61" s="4" t="s">
        <v>83</v>
      </c>
      <c r="C61" s="4" t="s">
        <v>84</v>
      </c>
      <c r="D61" s="5">
        <v>46044.0</v>
      </c>
      <c r="E61" s="4" t="s">
        <v>271</v>
      </c>
      <c r="F61" s="4" t="s">
        <v>272</v>
      </c>
    </row>
    <row r="62" ht="15.75" customHeight="1">
      <c r="A62" s="4">
        <v>4.9671662E7</v>
      </c>
      <c r="B62" s="4" t="s">
        <v>9</v>
      </c>
      <c r="C62" s="4" t="s">
        <v>10</v>
      </c>
      <c r="D62" s="5">
        <v>46062.0</v>
      </c>
      <c r="E62" s="4" t="s">
        <v>276</v>
      </c>
      <c r="F62" s="4" t="s">
        <v>270</v>
      </c>
    </row>
    <row r="63" ht="15.75" customHeight="1">
      <c r="A63" s="4">
        <v>4.8912687E7</v>
      </c>
      <c r="B63" s="4" t="s">
        <v>31</v>
      </c>
      <c r="C63" s="4" t="s">
        <v>32</v>
      </c>
      <c r="D63" s="5">
        <v>46048.0</v>
      </c>
      <c r="E63" s="4" t="s">
        <v>276</v>
      </c>
      <c r="F63" s="4" t="s">
        <v>272</v>
      </c>
    </row>
    <row r="64" ht="15.75" customHeight="1">
      <c r="A64" s="4">
        <v>4.9303284E7</v>
      </c>
      <c r="B64" s="4" t="s">
        <v>85</v>
      </c>
      <c r="C64" s="4" t="s">
        <v>86</v>
      </c>
      <c r="D64" s="5">
        <v>46053.0</v>
      </c>
      <c r="E64" s="4" t="s">
        <v>273</v>
      </c>
      <c r="F64" s="4" t="s">
        <v>272</v>
      </c>
    </row>
    <row r="65" ht="15.75" customHeight="1">
      <c r="A65" s="4">
        <v>5.0026524E7</v>
      </c>
      <c r="B65" s="4" t="s">
        <v>87</v>
      </c>
      <c r="C65" s="4" t="s">
        <v>88</v>
      </c>
      <c r="D65" s="5">
        <v>46066.0</v>
      </c>
      <c r="E65" s="4" t="s">
        <v>277</v>
      </c>
      <c r="F65" s="4" t="s">
        <v>270</v>
      </c>
    </row>
    <row r="66" ht="15.75" customHeight="1">
      <c r="A66" s="4">
        <v>4.8662108E7</v>
      </c>
      <c r="B66" s="4" t="s">
        <v>75</v>
      </c>
      <c r="C66" s="4" t="s">
        <v>76</v>
      </c>
      <c r="D66" s="5">
        <v>46037.0</v>
      </c>
      <c r="E66" s="4" t="s">
        <v>271</v>
      </c>
      <c r="F66" s="4" t="s">
        <v>272</v>
      </c>
    </row>
    <row r="67" ht="15.75" customHeight="1">
      <c r="A67" s="4">
        <v>4.9304148E7</v>
      </c>
      <c r="B67" s="4" t="s">
        <v>89</v>
      </c>
      <c r="C67" s="4" t="s">
        <v>90</v>
      </c>
      <c r="D67" s="5">
        <v>46054.0</v>
      </c>
      <c r="E67" s="4" t="s">
        <v>274</v>
      </c>
      <c r="F67" s="4" t="s">
        <v>270</v>
      </c>
    </row>
    <row r="68" ht="15.75" customHeight="1">
      <c r="A68" s="4">
        <v>4.9888479E7</v>
      </c>
      <c r="B68" s="4" t="s">
        <v>7</v>
      </c>
      <c r="C68" s="4" t="s">
        <v>8</v>
      </c>
      <c r="D68" s="5">
        <v>46063.0</v>
      </c>
      <c r="E68" s="4" t="s">
        <v>275</v>
      </c>
      <c r="F68" s="4" t="s">
        <v>270</v>
      </c>
    </row>
    <row r="69" ht="15.75" customHeight="1">
      <c r="A69" s="4">
        <v>5.0327853E7</v>
      </c>
      <c r="B69" s="4" t="s">
        <v>91</v>
      </c>
      <c r="D69" s="5">
        <v>46075.0</v>
      </c>
      <c r="E69" s="4" t="s">
        <v>274</v>
      </c>
      <c r="F69" s="4" t="s">
        <v>270</v>
      </c>
    </row>
    <row r="70" ht="15.75" customHeight="1">
      <c r="A70" s="4">
        <v>4.9304155E7</v>
      </c>
      <c r="B70" s="4" t="s">
        <v>92</v>
      </c>
      <c r="C70" s="4" t="s">
        <v>93</v>
      </c>
      <c r="D70" s="5">
        <v>46054.0</v>
      </c>
      <c r="E70" s="4" t="s">
        <v>274</v>
      </c>
      <c r="F70" s="4" t="s">
        <v>270</v>
      </c>
    </row>
    <row r="71" ht="15.75" customHeight="1">
      <c r="A71" s="4">
        <v>4.9387272E7</v>
      </c>
      <c r="B71" s="4" t="s">
        <v>94</v>
      </c>
      <c r="C71" s="4" t="s">
        <v>95</v>
      </c>
      <c r="D71" s="5">
        <v>46055.0</v>
      </c>
      <c r="E71" s="4" t="s">
        <v>276</v>
      </c>
      <c r="F71" s="4" t="s">
        <v>270</v>
      </c>
    </row>
    <row r="72" ht="15.75" customHeight="1">
      <c r="A72" s="4">
        <v>4.8665832E7</v>
      </c>
      <c r="B72" s="4" t="s">
        <v>7</v>
      </c>
      <c r="C72" s="4" t="s">
        <v>8</v>
      </c>
      <c r="D72" s="5">
        <v>46037.0</v>
      </c>
      <c r="E72" s="4" t="s">
        <v>271</v>
      </c>
      <c r="F72" s="4" t="s">
        <v>272</v>
      </c>
    </row>
    <row r="73" ht="15.75" customHeight="1">
      <c r="A73" s="4">
        <v>5.0032262E7</v>
      </c>
      <c r="B73" s="4" t="s">
        <v>49</v>
      </c>
      <c r="C73" s="4" t="s">
        <v>50</v>
      </c>
      <c r="D73" s="5">
        <v>46068.0</v>
      </c>
      <c r="E73" s="4" t="s">
        <v>274</v>
      </c>
      <c r="F73" s="4" t="s">
        <v>270</v>
      </c>
    </row>
    <row r="74" ht="15.75" customHeight="1">
      <c r="A74" s="4">
        <v>4.9323239E7</v>
      </c>
      <c r="B74" s="4" t="s">
        <v>29</v>
      </c>
      <c r="C74" s="4" t="s">
        <v>30</v>
      </c>
      <c r="D74" s="5">
        <v>46054.0</v>
      </c>
      <c r="E74" s="4" t="s">
        <v>274</v>
      </c>
      <c r="F74" s="4" t="s">
        <v>270</v>
      </c>
    </row>
    <row r="75" ht="15.75" customHeight="1">
      <c r="A75" s="4">
        <v>4.9711744E7</v>
      </c>
      <c r="B75" s="4" t="s">
        <v>57</v>
      </c>
      <c r="C75" s="4" t="s">
        <v>58</v>
      </c>
      <c r="D75" s="5">
        <v>46061.0</v>
      </c>
      <c r="E75" s="4" t="s">
        <v>274</v>
      </c>
      <c r="F75" s="4" t="s">
        <v>270</v>
      </c>
    </row>
    <row r="76" ht="15.75" customHeight="1">
      <c r="A76" s="4">
        <v>4.8683319E7</v>
      </c>
      <c r="B76" s="4" t="s">
        <v>27</v>
      </c>
      <c r="C76" s="4" t="s">
        <v>28</v>
      </c>
      <c r="D76" s="5">
        <v>46039.0</v>
      </c>
      <c r="E76" s="4" t="s">
        <v>273</v>
      </c>
      <c r="F76" s="4" t="s">
        <v>272</v>
      </c>
    </row>
    <row r="77" ht="15.75" customHeight="1">
      <c r="A77" s="4">
        <v>4.8679893E7</v>
      </c>
      <c r="B77" s="4" t="s">
        <v>96</v>
      </c>
      <c r="C77" s="4" t="s">
        <v>97</v>
      </c>
      <c r="D77" s="5">
        <v>46037.0</v>
      </c>
      <c r="E77" s="4" t="s">
        <v>271</v>
      </c>
      <c r="F77" s="4" t="s">
        <v>272</v>
      </c>
    </row>
    <row r="78" ht="15.75" customHeight="1">
      <c r="A78" s="4">
        <v>4.9888478E7</v>
      </c>
      <c r="B78" s="4" t="s">
        <v>39</v>
      </c>
      <c r="C78" s="4" t="s">
        <v>40</v>
      </c>
      <c r="D78" s="5">
        <v>46063.0</v>
      </c>
      <c r="E78" s="4" t="s">
        <v>275</v>
      </c>
      <c r="F78" s="4" t="s">
        <v>270</v>
      </c>
    </row>
    <row r="79" ht="15.75" customHeight="1">
      <c r="A79" s="4">
        <v>4.8654969E7</v>
      </c>
      <c r="B79" s="4" t="s">
        <v>55</v>
      </c>
      <c r="C79" s="4" t="s">
        <v>56</v>
      </c>
      <c r="D79" s="5">
        <v>46032.0</v>
      </c>
      <c r="E79" s="4" t="s">
        <v>273</v>
      </c>
      <c r="F79" s="4" t="s">
        <v>272</v>
      </c>
    </row>
    <row r="80" ht="15.75" customHeight="1">
      <c r="A80" s="4">
        <v>4.8675008E7</v>
      </c>
      <c r="B80" s="4" t="s">
        <v>43</v>
      </c>
      <c r="C80" s="4" t="s">
        <v>44</v>
      </c>
      <c r="D80" s="5">
        <v>46038.0</v>
      </c>
      <c r="E80" s="4" t="s">
        <v>277</v>
      </c>
      <c r="F80" s="4" t="s">
        <v>272</v>
      </c>
    </row>
    <row r="81" ht="15.75" customHeight="1">
      <c r="A81" s="4">
        <v>4.9246326E7</v>
      </c>
      <c r="B81" s="4" t="s">
        <v>98</v>
      </c>
      <c r="C81" s="4" t="s">
        <v>99</v>
      </c>
      <c r="D81" s="5">
        <v>46052.0</v>
      </c>
      <c r="E81" s="4" t="s">
        <v>277</v>
      </c>
      <c r="F81" s="4" t="s">
        <v>272</v>
      </c>
    </row>
    <row r="82" ht="15.75" customHeight="1">
      <c r="A82" s="4">
        <v>4.929787E7</v>
      </c>
      <c r="B82" s="4" t="s">
        <v>100</v>
      </c>
      <c r="C82" s="4" t="s">
        <v>101</v>
      </c>
      <c r="D82" s="5">
        <v>46053.0</v>
      </c>
      <c r="E82" s="4" t="s">
        <v>273</v>
      </c>
      <c r="F82" s="4" t="s">
        <v>272</v>
      </c>
    </row>
    <row r="83" ht="15.75" customHeight="1">
      <c r="A83" s="4">
        <v>4.9303289E7</v>
      </c>
      <c r="B83" s="4" t="s">
        <v>102</v>
      </c>
      <c r="C83" s="4" t="s">
        <v>103</v>
      </c>
      <c r="D83" s="5">
        <v>46053.0</v>
      </c>
      <c r="E83" s="4" t="s">
        <v>273</v>
      </c>
      <c r="F83" s="4" t="s">
        <v>272</v>
      </c>
    </row>
    <row r="84" ht="15.75" customHeight="1">
      <c r="A84" s="4">
        <v>4.9724505E7</v>
      </c>
      <c r="B84" s="4" t="s">
        <v>31</v>
      </c>
      <c r="C84" s="4" t="s">
        <v>32</v>
      </c>
      <c r="D84" s="5">
        <v>46052.0</v>
      </c>
      <c r="E84" s="4" t="s">
        <v>277</v>
      </c>
      <c r="F84" s="4" t="s">
        <v>272</v>
      </c>
    </row>
    <row r="85" ht="15.75" customHeight="1">
      <c r="A85" s="4">
        <v>4.9298507E7</v>
      </c>
      <c r="B85" s="4" t="s">
        <v>73</v>
      </c>
      <c r="C85" s="4" t="s">
        <v>74</v>
      </c>
      <c r="D85" s="5">
        <v>46053.0</v>
      </c>
      <c r="E85" s="4" t="s">
        <v>273</v>
      </c>
      <c r="F85" s="4" t="s">
        <v>272</v>
      </c>
    </row>
    <row r="86" ht="15.75" customHeight="1">
      <c r="A86" s="4">
        <v>4.8686668E7</v>
      </c>
      <c r="B86" s="4" t="s">
        <v>55</v>
      </c>
      <c r="C86" s="4" t="s">
        <v>56</v>
      </c>
      <c r="D86" s="5">
        <v>46038.0</v>
      </c>
      <c r="E86" s="4" t="s">
        <v>277</v>
      </c>
      <c r="F86" s="4" t="s">
        <v>272</v>
      </c>
    </row>
    <row r="87" ht="15.75" customHeight="1">
      <c r="A87" s="4">
        <v>4.868332E7</v>
      </c>
      <c r="B87" s="4" t="s">
        <v>17</v>
      </c>
      <c r="C87" s="4" t="s">
        <v>18</v>
      </c>
      <c r="D87" s="5">
        <v>46039.0</v>
      </c>
      <c r="E87" s="4" t="s">
        <v>273</v>
      </c>
      <c r="F87" s="4" t="s">
        <v>272</v>
      </c>
    </row>
    <row r="88" ht="15.75" customHeight="1">
      <c r="A88" s="4">
        <v>4.8995016E7</v>
      </c>
      <c r="B88" s="4" t="s">
        <v>29</v>
      </c>
      <c r="C88" s="4" t="s">
        <v>30</v>
      </c>
      <c r="D88" s="5">
        <v>46045.0</v>
      </c>
      <c r="E88" s="4" t="s">
        <v>277</v>
      </c>
      <c r="F88" s="4" t="s">
        <v>272</v>
      </c>
    </row>
    <row r="89" ht="15.75" customHeight="1">
      <c r="A89" s="4">
        <v>4.9620069E7</v>
      </c>
      <c r="B89" s="4" t="s">
        <v>29</v>
      </c>
      <c r="C89" s="4" t="s">
        <v>30</v>
      </c>
      <c r="D89" s="5">
        <v>46059.0</v>
      </c>
      <c r="E89" s="4" t="s">
        <v>277</v>
      </c>
      <c r="F89" s="4" t="s">
        <v>270</v>
      </c>
    </row>
    <row r="90" ht="15.75" customHeight="1">
      <c r="A90" s="4">
        <v>4.843151E7</v>
      </c>
      <c r="B90" s="4" t="s">
        <v>55</v>
      </c>
      <c r="C90" s="4" t="s">
        <v>56</v>
      </c>
      <c r="D90" s="5">
        <v>46023.0</v>
      </c>
      <c r="E90" s="4" t="s">
        <v>271</v>
      </c>
      <c r="F90" s="4" t="s">
        <v>272</v>
      </c>
    </row>
    <row r="91" ht="15.75" customHeight="1">
      <c r="A91" s="4">
        <v>4.9959887E7</v>
      </c>
      <c r="B91" s="4" t="s">
        <v>47</v>
      </c>
      <c r="C91" s="4" t="s">
        <v>48</v>
      </c>
      <c r="D91" s="5">
        <v>46065.0</v>
      </c>
      <c r="E91" s="4" t="s">
        <v>271</v>
      </c>
      <c r="F91" s="4" t="s">
        <v>270</v>
      </c>
    </row>
    <row r="92" ht="15.75" customHeight="1">
      <c r="A92" s="4">
        <v>4.9724556E7</v>
      </c>
      <c r="B92" s="4" t="s">
        <v>21</v>
      </c>
      <c r="C92" s="4" t="s">
        <v>22</v>
      </c>
      <c r="D92" s="5">
        <v>46062.0</v>
      </c>
      <c r="E92" s="4" t="s">
        <v>276</v>
      </c>
      <c r="F92" s="4" t="s">
        <v>270</v>
      </c>
    </row>
    <row r="93" ht="15.75" customHeight="1">
      <c r="A93" s="4">
        <v>4.9517752E7</v>
      </c>
      <c r="B93" s="4" t="s">
        <v>35</v>
      </c>
      <c r="C93" s="4" t="s">
        <v>36</v>
      </c>
      <c r="D93" s="5">
        <v>46057.0</v>
      </c>
      <c r="E93" s="4" t="s">
        <v>269</v>
      </c>
      <c r="F93" s="4" t="s">
        <v>270</v>
      </c>
    </row>
    <row r="94" ht="15.75" customHeight="1">
      <c r="A94" s="4">
        <v>4.9774231E7</v>
      </c>
      <c r="B94" s="4" t="s">
        <v>104</v>
      </c>
      <c r="D94" s="5">
        <v>46061.0</v>
      </c>
      <c r="E94" s="4" t="s">
        <v>274</v>
      </c>
      <c r="F94" s="4" t="s">
        <v>270</v>
      </c>
    </row>
    <row r="95" ht="15.75" customHeight="1">
      <c r="A95" s="4">
        <v>5.0032448E7</v>
      </c>
      <c r="B95" s="4" t="s">
        <v>89</v>
      </c>
      <c r="C95" s="4" t="s">
        <v>90</v>
      </c>
      <c r="D95" s="5">
        <v>46068.0</v>
      </c>
      <c r="E95" s="4" t="s">
        <v>274</v>
      </c>
      <c r="F95" s="4" t="s">
        <v>270</v>
      </c>
    </row>
    <row r="96" ht="15.75" customHeight="1">
      <c r="A96" s="4">
        <v>4.8683318E7</v>
      </c>
      <c r="B96" s="4" t="s">
        <v>9</v>
      </c>
      <c r="C96" s="4" t="s">
        <v>10</v>
      </c>
      <c r="D96" s="5">
        <v>46039.0</v>
      </c>
      <c r="E96" s="4" t="s">
        <v>273</v>
      </c>
      <c r="F96" s="4" t="s">
        <v>272</v>
      </c>
    </row>
    <row r="97" ht="15.75" customHeight="1">
      <c r="A97" s="4">
        <v>4.8722318E7</v>
      </c>
      <c r="B97" s="4" t="s">
        <v>7</v>
      </c>
      <c r="C97" s="4" t="s">
        <v>8</v>
      </c>
      <c r="D97" s="5">
        <v>46042.0</v>
      </c>
      <c r="E97" s="4" t="s">
        <v>275</v>
      </c>
      <c r="F97" s="4" t="s">
        <v>272</v>
      </c>
    </row>
    <row r="98" ht="15.75" customHeight="1">
      <c r="A98" s="4">
        <v>4.9517749E7</v>
      </c>
      <c r="B98" s="4" t="s">
        <v>21</v>
      </c>
      <c r="C98" s="4" t="s">
        <v>22</v>
      </c>
      <c r="D98" s="5">
        <v>46057.0</v>
      </c>
      <c r="E98" s="4" t="s">
        <v>269</v>
      </c>
      <c r="F98" s="4" t="s">
        <v>270</v>
      </c>
    </row>
    <row r="99" ht="15.75" customHeight="1">
      <c r="A99" s="4">
        <v>4.8665827E7</v>
      </c>
      <c r="B99" s="4" t="s">
        <v>73</v>
      </c>
      <c r="C99" s="4" t="s">
        <v>74</v>
      </c>
      <c r="D99" s="5">
        <v>46037.0</v>
      </c>
      <c r="E99" s="4" t="s">
        <v>271</v>
      </c>
      <c r="F99" s="4" t="s">
        <v>272</v>
      </c>
    </row>
    <row r="100" ht="15.75" customHeight="1">
      <c r="A100" s="4">
        <v>4.846654E7</v>
      </c>
      <c r="B100" s="4" t="s">
        <v>105</v>
      </c>
      <c r="D100" s="5">
        <v>46026.0</v>
      </c>
      <c r="E100" s="4" t="s">
        <v>274</v>
      </c>
      <c r="F100" s="4" t="s">
        <v>272</v>
      </c>
    </row>
    <row r="101" ht="15.75" customHeight="1">
      <c r="A101" s="4">
        <v>4.86753E7</v>
      </c>
      <c r="B101" s="4" t="s">
        <v>79</v>
      </c>
      <c r="C101" s="4" t="s">
        <v>80</v>
      </c>
      <c r="D101" s="5">
        <v>46038.0</v>
      </c>
      <c r="E101" s="4" t="s">
        <v>277</v>
      </c>
      <c r="F101" s="4" t="s">
        <v>272</v>
      </c>
    </row>
    <row r="102" ht="15.75" customHeight="1">
      <c r="A102" s="4">
        <v>4.8601124E7</v>
      </c>
      <c r="B102" s="4" t="s">
        <v>106</v>
      </c>
      <c r="C102" s="4" t="s">
        <v>107</v>
      </c>
      <c r="D102" s="5">
        <v>46030.0</v>
      </c>
      <c r="E102" s="4" t="s">
        <v>271</v>
      </c>
      <c r="F102" s="4" t="s">
        <v>272</v>
      </c>
    </row>
    <row r="103" ht="15.75" customHeight="1">
      <c r="A103" s="4">
        <v>4.9961777E7</v>
      </c>
      <c r="B103" s="4" t="s">
        <v>7</v>
      </c>
      <c r="C103" s="4" t="s">
        <v>8</v>
      </c>
      <c r="D103" s="5">
        <v>46065.0</v>
      </c>
      <c r="E103" s="4" t="s">
        <v>271</v>
      </c>
      <c r="F103" s="4" t="s">
        <v>270</v>
      </c>
    </row>
    <row r="104" ht="15.75" customHeight="1">
      <c r="A104" s="4">
        <v>4.9395894E7</v>
      </c>
      <c r="B104" s="4" t="s">
        <v>108</v>
      </c>
      <c r="C104" s="4" t="s">
        <v>109</v>
      </c>
      <c r="D104" s="5">
        <v>46055.0</v>
      </c>
      <c r="E104" s="4" t="s">
        <v>276</v>
      </c>
      <c r="F104" s="4" t="s">
        <v>270</v>
      </c>
    </row>
    <row r="105" ht="15.75" customHeight="1">
      <c r="A105" s="4">
        <v>4.9961968E7</v>
      </c>
      <c r="B105" s="4" t="s">
        <v>110</v>
      </c>
      <c r="C105" s="4" t="s">
        <v>111</v>
      </c>
      <c r="D105" s="5">
        <v>46065.0</v>
      </c>
      <c r="E105" s="4" t="s">
        <v>271</v>
      </c>
      <c r="F105" s="4" t="s">
        <v>270</v>
      </c>
    </row>
    <row r="106" ht="15.75" customHeight="1">
      <c r="A106" s="4">
        <v>4.9303486E7</v>
      </c>
      <c r="B106" s="4" t="s">
        <v>112</v>
      </c>
      <c r="C106" s="4" t="s">
        <v>113</v>
      </c>
      <c r="D106" s="5">
        <v>46053.0</v>
      </c>
      <c r="E106" s="4" t="s">
        <v>273</v>
      </c>
      <c r="F106" s="4" t="s">
        <v>272</v>
      </c>
    </row>
    <row r="107" ht="15.75" customHeight="1">
      <c r="A107" s="4">
        <v>5.0023797E7</v>
      </c>
      <c r="B107" s="4" t="s">
        <v>110</v>
      </c>
      <c r="C107" s="4" t="s">
        <v>111</v>
      </c>
      <c r="D107" s="5">
        <v>46066.0</v>
      </c>
      <c r="E107" s="4" t="s">
        <v>277</v>
      </c>
      <c r="F107" s="4" t="s">
        <v>270</v>
      </c>
    </row>
    <row r="108" ht="15.75" customHeight="1">
      <c r="A108" s="4">
        <v>4.930395E7</v>
      </c>
      <c r="B108" s="4" t="s">
        <v>61</v>
      </c>
      <c r="C108" s="4" t="s">
        <v>62</v>
      </c>
      <c r="D108" s="5">
        <v>46054.0</v>
      </c>
      <c r="E108" s="4" t="s">
        <v>274</v>
      </c>
      <c r="F108" s="4" t="s">
        <v>270</v>
      </c>
    </row>
    <row r="109" ht="15.75" customHeight="1">
      <c r="A109" s="4">
        <v>4.872232E7</v>
      </c>
      <c r="B109" s="4" t="s">
        <v>39</v>
      </c>
      <c r="C109" s="4" t="s">
        <v>40</v>
      </c>
      <c r="D109" s="5">
        <v>46042.0</v>
      </c>
      <c r="E109" s="4" t="s">
        <v>275</v>
      </c>
      <c r="F109" s="4" t="s">
        <v>272</v>
      </c>
    </row>
    <row r="110" ht="15.75" customHeight="1">
      <c r="A110" s="4">
        <v>5.0032498E7</v>
      </c>
      <c r="B110" s="4" t="s">
        <v>114</v>
      </c>
      <c r="C110" s="4" t="s">
        <v>115</v>
      </c>
      <c r="D110" s="5">
        <v>46068.0</v>
      </c>
      <c r="E110" s="4" t="s">
        <v>274</v>
      </c>
      <c r="F110" s="4" t="s">
        <v>270</v>
      </c>
    </row>
    <row r="111" ht="15.75" customHeight="1">
      <c r="A111" s="4">
        <v>4.9512911E7</v>
      </c>
      <c r="B111" s="4" t="s">
        <v>75</v>
      </c>
      <c r="C111" s="4" t="s">
        <v>76</v>
      </c>
      <c r="D111" s="5">
        <v>46057.0</v>
      </c>
      <c r="E111" s="4" t="s">
        <v>269</v>
      </c>
      <c r="F111" s="4" t="s">
        <v>270</v>
      </c>
    </row>
    <row r="112" ht="15.75" customHeight="1">
      <c r="A112" s="4">
        <v>4.9303225E7</v>
      </c>
      <c r="B112" s="4" t="s">
        <v>94</v>
      </c>
      <c r="C112" s="4" t="s">
        <v>95</v>
      </c>
      <c r="D112" s="5">
        <v>46053.0</v>
      </c>
      <c r="E112" s="4" t="s">
        <v>273</v>
      </c>
      <c r="F112" s="4" t="s">
        <v>272</v>
      </c>
    </row>
    <row r="113" ht="15.75" customHeight="1">
      <c r="A113" s="4">
        <v>4.8435989E7</v>
      </c>
      <c r="B113" s="4" t="s">
        <v>116</v>
      </c>
      <c r="C113" s="4" t="s">
        <v>117</v>
      </c>
      <c r="D113" s="5">
        <v>46025.0</v>
      </c>
      <c r="E113" s="4" t="s">
        <v>273</v>
      </c>
      <c r="F113" s="4" t="s">
        <v>272</v>
      </c>
    </row>
    <row r="114" ht="15.75" customHeight="1">
      <c r="A114" s="4">
        <v>4.9304004E7</v>
      </c>
      <c r="B114" s="4" t="s">
        <v>118</v>
      </c>
      <c r="C114" s="4" t="s">
        <v>119</v>
      </c>
      <c r="D114" s="5">
        <v>46054.0</v>
      </c>
      <c r="E114" s="4" t="s">
        <v>274</v>
      </c>
      <c r="F114" s="4" t="s">
        <v>270</v>
      </c>
    </row>
    <row r="115" ht="15.75" customHeight="1">
      <c r="A115" s="4">
        <v>4.9724523E7</v>
      </c>
      <c r="B115" s="4" t="s">
        <v>120</v>
      </c>
      <c r="C115" s="4" t="s">
        <v>121</v>
      </c>
      <c r="D115" s="5">
        <v>46057.0</v>
      </c>
      <c r="E115" s="4" t="s">
        <v>269</v>
      </c>
      <c r="F115" s="4" t="s">
        <v>270</v>
      </c>
    </row>
    <row r="116" ht="15.75" customHeight="1">
      <c r="A116" s="4">
        <v>4.8412819E7</v>
      </c>
      <c r="B116" s="4" t="s">
        <v>122</v>
      </c>
      <c r="C116" s="4" t="s">
        <v>123</v>
      </c>
      <c r="D116" s="5">
        <v>46023.0</v>
      </c>
      <c r="E116" s="4" t="s">
        <v>271</v>
      </c>
      <c r="F116" s="4" t="s">
        <v>272</v>
      </c>
    </row>
    <row r="117" ht="15.75" customHeight="1">
      <c r="A117" s="4">
        <v>4.8675301E7</v>
      </c>
      <c r="B117" s="4" t="s">
        <v>7</v>
      </c>
      <c r="C117" s="4" t="s">
        <v>8</v>
      </c>
      <c r="D117" s="5">
        <v>46038.0</v>
      </c>
      <c r="E117" s="4" t="s">
        <v>277</v>
      </c>
      <c r="F117" s="4" t="s">
        <v>272</v>
      </c>
    </row>
    <row r="118" ht="15.75" customHeight="1">
      <c r="A118" s="4">
        <v>4.9298823E7</v>
      </c>
      <c r="B118" s="4" t="s">
        <v>124</v>
      </c>
      <c r="C118" s="4" t="s">
        <v>125</v>
      </c>
      <c r="D118" s="5">
        <v>46053.0</v>
      </c>
      <c r="E118" s="4" t="s">
        <v>273</v>
      </c>
      <c r="F118" s="4" t="s">
        <v>272</v>
      </c>
    </row>
    <row r="119" ht="15.75" customHeight="1">
      <c r="A119" s="4">
        <v>4.988815E7</v>
      </c>
      <c r="B119" s="4" t="s">
        <v>39</v>
      </c>
      <c r="C119" s="4" t="s">
        <v>40</v>
      </c>
      <c r="D119" s="5">
        <v>46064.0</v>
      </c>
      <c r="E119" s="4" t="s">
        <v>269</v>
      </c>
      <c r="F119" s="4" t="s">
        <v>270</v>
      </c>
    </row>
    <row r="120" ht="15.75" customHeight="1">
      <c r="A120" s="4">
        <v>4.8590653E7</v>
      </c>
      <c r="B120" s="4" t="s">
        <v>126</v>
      </c>
      <c r="C120" s="4" t="s">
        <v>127</v>
      </c>
      <c r="D120" s="5">
        <v>46029.0</v>
      </c>
      <c r="E120" s="4" t="s">
        <v>269</v>
      </c>
      <c r="F120" s="4" t="s">
        <v>272</v>
      </c>
    </row>
    <row r="121" ht="15.75" customHeight="1">
      <c r="A121" s="4">
        <v>4.8412824E7</v>
      </c>
      <c r="B121" s="4" t="s">
        <v>128</v>
      </c>
      <c r="C121" s="4" t="s">
        <v>129</v>
      </c>
      <c r="D121" s="5">
        <v>46023.0</v>
      </c>
      <c r="E121" s="4" t="s">
        <v>271</v>
      </c>
      <c r="F121" s="4" t="s">
        <v>272</v>
      </c>
    </row>
    <row r="122" ht="15.75" customHeight="1">
      <c r="A122" s="4">
        <v>4.9962485E7</v>
      </c>
      <c r="B122" s="4" t="s">
        <v>130</v>
      </c>
      <c r="C122" s="4" t="s">
        <v>131</v>
      </c>
      <c r="D122" s="5">
        <v>46065.0</v>
      </c>
      <c r="E122" s="4" t="s">
        <v>271</v>
      </c>
      <c r="F122" s="4" t="s">
        <v>270</v>
      </c>
    </row>
    <row r="123" ht="15.75" customHeight="1">
      <c r="A123" s="4">
        <v>4.8628057E7</v>
      </c>
      <c r="B123" s="4" t="s">
        <v>132</v>
      </c>
      <c r="C123" s="4" t="s">
        <v>133</v>
      </c>
      <c r="D123" s="5">
        <v>46034.0</v>
      </c>
      <c r="E123" s="4" t="s">
        <v>276</v>
      </c>
      <c r="F123" s="4" t="s">
        <v>272</v>
      </c>
    </row>
    <row r="124" ht="15.75" customHeight="1">
      <c r="A124" s="4">
        <v>4.9249979E7</v>
      </c>
      <c r="B124" s="4" t="s">
        <v>134</v>
      </c>
      <c r="C124" s="4" t="s">
        <v>135</v>
      </c>
      <c r="D124" s="5">
        <v>46051.0</v>
      </c>
      <c r="E124" s="4" t="s">
        <v>271</v>
      </c>
      <c r="F124" s="4" t="s">
        <v>272</v>
      </c>
    </row>
    <row r="125" ht="15.75" customHeight="1">
      <c r="A125" s="4">
        <v>4.9888476E7</v>
      </c>
      <c r="B125" s="4" t="s">
        <v>136</v>
      </c>
      <c r="C125" s="4" t="s">
        <v>137</v>
      </c>
      <c r="D125" s="5">
        <v>46062.0</v>
      </c>
      <c r="E125" s="4" t="s">
        <v>276</v>
      </c>
      <c r="F125" s="4" t="s">
        <v>270</v>
      </c>
    </row>
    <row r="126" ht="15.75" customHeight="1">
      <c r="A126" s="4">
        <v>5.0032163E7</v>
      </c>
      <c r="B126" s="4" t="s">
        <v>39</v>
      </c>
      <c r="C126" s="4" t="s">
        <v>40</v>
      </c>
      <c r="D126" s="5">
        <v>46068.0</v>
      </c>
      <c r="E126" s="4" t="s">
        <v>274</v>
      </c>
      <c r="F126" s="4" t="s">
        <v>270</v>
      </c>
    </row>
    <row r="127" ht="15.75" customHeight="1">
      <c r="A127" s="4">
        <v>4.8433119E7</v>
      </c>
      <c r="B127" s="4" t="s">
        <v>138</v>
      </c>
      <c r="C127" s="4" t="s">
        <v>139</v>
      </c>
      <c r="D127" s="5">
        <v>46024.0</v>
      </c>
      <c r="E127" s="4" t="s">
        <v>277</v>
      </c>
      <c r="F127" s="4" t="s">
        <v>272</v>
      </c>
    </row>
    <row r="128" ht="15.75" customHeight="1">
      <c r="A128" s="4">
        <v>4.8601127E7</v>
      </c>
      <c r="B128" s="4" t="s">
        <v>140</v>
      </c>
      <c r="C128" s="4" t="s">
        <v>141</v>
      </c>
      <c r="D128" s="5">
        <v>46030.0</v>
      </c>
      <c r="E128" s="4" t="s">
        <v>271</v>
      </c>
      <c r="F128" s="4" t="s">
        <v>272</v>
      </c>
    </row>
    <row r="129" ht="15.75" customHeight="1">
      <c r="A129" s="4">
        <v>4.9961832E7</v>
      </c>
      <c r="B129" s="4" t="s">
        <v>89</v>
      </c>
      <c r="C129" s="4" t="s">
        <v>90</v>
      </c>
      <c r="D129" s="5">
        <v>46065.0</v>
      </c>
      <c r="E129" s="4" t="s">
        <v>271</v>
      </c>
      <c r="F129" s="4" t="s">
        <v>270</v>
      </c>
    </row>
    <row r="130" ht="15.75" customHeight="1">
      <c r="A130" s="4">
        <v>5.0026505E7</v>
      </c>
      <c r="B130" s="4" t="s">
        <v>134</v>
      </c>
      <c r="C130" s="4" t="s">
        <v>135</v>
      </c>
      <c r="D130" s="5">
        <v>46066.0</v>
      </c>
      <c r="E130" s="4" t="s">
        <v>277</v>
      </c>
      <c r="F130" s="4" t="s">
        <v>270</v>
      </c>
    </row>
    <row r="131" ht="15.75" customHeight="1">
      <c r="A131" s="4">
        <v>5.0032123E7</v>
      </c>
      <c r="B131" s="4" t="s">
        <v>142</v>
      </c>
      <c r="C131" s="4" t="s">
        <v>143</v>
      </c>
      <c r="D131" s="5">
        <v>46068.0</v>
      </c>
      <c r="E131" s="4" t="s">
        <v>274</v>
      </c>
      <c r="F131" s="4" t="s">
        <v>270</v>
      </c>
    </row>
    <row r="132" ht="15.75" customHeight="1">
      <c r="A132" s="4">
        <v>4.847182E7</v>
      </c>
      <c r="B132" s="4" t="s">
        <v>144</v>
      </c>
      <c r="C132" s="4" t="s">
        <v>145</v>
      </c>
      <c r="D132" s="5">
        <v>46024.0</v>
      </c>
      <c r="E132" s="4" t="s">
        <v>277</v>
      </c>
      <c r="F132" s="4" t="s">
        <v>272</v>
      </c>
    </row>
    <row r="133" ht="15.75" customHeight="1">
      <c r="A133" s="4">
        <v>4.9724495E7</v>
      </c>
      <c r="B133" s="4" t="s">
        <v>79</v>
      </c>
      <c r="C133" s="4" t="s">
        <v>80</v>
      </c>
      <c r="D133" s="5">
        <v>46050.0</v>
      </c>
      <c r="E133" s="4" t="s">
        <v>269</v>
      </c>
      <c r="F133" s="4" t="s">
        <v>272</v>
      </c>
    </row>
    <row r="134" ht="15.75" customHeight="1">
      <c r="A134" s="4">
        <v>4.9512957E7</v>
      </c>
      <c r="B134" s="4" t="s">
        <v>89</v>
      </c>
      <c r="C134" s="4" t="s">
        <v>90</v>
      </c>
      <c r="D134" s="5">
        <v>46057.0</v>
      </c>
      <c r="E134" s="4" t="s">
        <v>269</v>
      </c>
      <c r="F134" s="4" t="s">
        <v>270</v>
      </c>
    </row>
    <row r="135" ht="15.75" customHeight="1">
      <c r="A135" s="4">
        <v>4.951775E7</v>
      </c>
      <c r="B135" s="4" t="s">
        <v>146</v>
      </c>
      <c r="C135" s="4" t="s">
        <v>147</v>
      </c>
      <c r="D135" s="5">
        <v>46057.0</v>
      </c>
      <c r="E135" s="4" t="s">
        <v>269</v>
      </c>
      <c r="F135" s="4" t="s">
        <v>270</v>
      </c>
    </row>
    <row r="136" ht="15.75" customHeight="1">
      <c r="A136" s="4">
        <v>4.9516326E7</v>
      </c>
      <c r="B136" s="4" t="s">
        <v>21</v>
      </c>
      <c r="C136" s="4" t="s">
        <v>22</v>
      </c>
      <c r="D136" s="5">
        <v>46038.0</v>
      </c>
      <c r="E136" s="4" t="s">
        <v>277</v>
      </c>
      <c r="F136" s="4" t="s">
        <v>272</v>
      </c>
    </row>
    <row r="137" ht="15.75" customHeight="1">
      <c r="A137" s="4">
        <v>5.0347508E7</v>
      </c>
      <c r="B137" s="4" t="s">
        <v>59</v>
      </c>
      <c r="C137" s="4" t="s">
        <v>60</v>
      </c>
      <c r="D137" s="5">
        <v>46077.0</v>
      </c>
      <c r="E137" s="4" t="s">
        <v>275</v>
      </c>
      <c r="F137" s="4" t="s">
        <v>270</v>
      </c>
    </row>
    <row r="138" ht="15.75" customHeight="1">
      <c r="A138" s="4">
        <v>4.9250017E7</v>
      </c>
      <c r="B138" s="4" t="s">
        <v>43</v>
      </c>
      <c r="C138" s="4" t="s">
        <v>44</v>
      </c>
      <c r="D138" s="5">
        <v>46051.0</v>
      </c>
      <c r="E138" s="4" t="s">
        <v>271</v>
      </c>
      <c r="F138" s="4" t="s">
        <v>272</v>
      </c>
    </row>
    <row r="139" ht="15.75" customHeight="1">
      <c r="A139" s="4">
        <v>4.8686623E7</v>
      </c>
      <c r="B139" s="4" t="s">
        <v>55</v>
      </c>
      <c r="C139" s="4" t="s">
        <v>56</v>
      </c>
      <c r="D139" s="5">
        <v>46038.0</v>
      </c>
      <c r="E139" s="4" t="s">
        <v>277</v>
      </c>
      <c r="F139" s="4" t="s">
        <v>272</v>
      </c>
    </row>
    <row r="140" ht="15.75" customHeight="1">
      <c r="A140" s="4">
        <v>5.0032144E7</v>
      </c>
      <c r="B140" s="4" t="s">
        <v>92</v>
      </c>
      <c r="C140" s="4" t="s">
        <v>93</v>
      </c>
      <c r="D140" s="5">
        <v>46068.0</v>
      </c>
      <c r="E140" s="4" t="s">
        <v>274</v>
      </c>
      <c r="F140" s="4" t="s">
        <v>270</v>
      </c>
    </row>
    <row r="141" ht="15.75" customHeight="1">
      <c r="A141" s="4">
        <v>5.0023642E7</v>
      </c>
      <c r="B141" s="4" t="s">
        <v>57</v>
      </c>
      <c r="C141" s="4" t="s">
        <v>58</v>
      </c>
      <c r="D141" s="5">
        <v>46067.0</v>
      </c>
      <c r="E141" s="4" t="s">
        <v>273</v>
      </c>
      <c r="F141" s="4" t="s">
        <v>270</v>
      </c>
    </row>
    <row r="142" ht="15.75" customHeight="1">
      <c r="A142" s="4">
        <v>4.8655016E7</v>
      </c>
      <c r="B142" s="4" t="s">
        <v>55</v>
      </c>
      <c r="C142" s="4" t="s">
        <v>56</v>
      </c>
      <c r="D142" s="5">
        <v>46032.0</v>
      </c>
      <c r="E142" s="4" t="s">
        <v>273</v>
      </c>
      <c r="F142" s="4" t="s">
        <v>272</v>
      </c>
    </row>
    <row r="143" ht="15.75" customHeight="1">
      <c r="A143" s="4">
        <v>4.8712389E7</v>
      </c>
      <c r="B143" s="4" t="s">
        <v>132</v>
      </c>
      <c r="C143" s="4" t="s">
        <v>133</v>
      </c>
      <c r="D143" s="5">
        <v>46041.0</v>
      </c>
      <c r="E143" s="4" t="s">
        <v>276</v>
      </c>
      <c r="F143" s="4" t="s">
        <v>272</v>
      </c>
    </row>
    <row r="144" ht="15.75" customHeight="1">
      <c r="A144" s="4">
        <v>4.9620073E7</v>
      </c>
      <c r="B144" s="4" t="s">
        <v>39</v>
      </c>
      <c r="C144" s="4" t="s">
        <v>40</v>
      </c>
      <c r="D144" s="5">
        <v>46059.0</v>
      </c>
      <c r="E144" s="4" t="s">
        <v>277</v>
      </c>
      <c r="F144" s="4" t="s">
        <v>270</v>
      </c>
    </row>
    <row r="145" ht="15.75" customHeight="1">
      <c r="A145" s="4">
        <v>4.8667258E7</v>
      </c>
      <c r="B145" s="4" t="s">
        <v>37</v>
      </c>
      <c r="C145" s="4" t="s">
        <v>38</v>
      </c>
      <c r="D145" s="5">
        <v>46036.0</v>
      </c>
      <c r="E145" s="4" t="s">
        <v>269</v>
      </c>
      <c r="F145" s="4" t="s">
        <v>272</v>
      </c>
    </row>
    <row r="146" ht="15.75" customHeight="1">
      <c r="A146" s="4">
        <v>4.9724558E7</v>
      </c>
      <c r="B146" s="4" t="s">
        <v>130</v>
      </c>
      <c r="C146" s="4" t="s">
        <v>131</v>
      </c>
      <c r="D146" s="5">
        <v>46062.0</v>
      </c>
      <c r="E146" s="4" t="s">
        <v>276</v>
      </c>
      <c r="F146" s="4" t="s">
        <v>270</v>
      </c>
    </row>
    <row r="147" ht="15.75" customHeight="1">
      <c r="A147" s="4">
        <v>4.8646424E7</v>
      </c>
      <c r="B147" s="4" t="s">
        <v>73</v>
      </c>
      <c r="C147" s="4" t="s">
        <v>74</v>
      </c>
      <c r="D147" s="5">
        <v>46035.0</v>
      </c>
      <c r="E147" s="4" t="s">
        <v>275</v>
      </c>
      <c r="F147" s="4" t="s">
        <v>272</v>
      </c>
    </row>
    <row r="148" ht="15.75" customHeight="1">
      <c r="A148" s="4">
        <v>4.8628058E7</v>
      </c>
      <c r="B148" s="4" t="s">
        <v>148</v>
      </c>
      <c r="C148" s="4" t="s">
        <v>149</v>
      </c>
      <c r="D148" s="5">
        <v>46034.0</v>
      </c>
      <c r="E148" s="4" t="s">
        <v>276</v>
      </c>
      <c r="F148" s="4" t="s">
        <v>272</v>
      </c>
    </row>
    <row r="149" ht="15.75" customHeight="1">
      <c r="A149" s="4">
        <v>4.930387E7</v>
      </c>
      <c r="B149" s="4" t="s">
        <v>9</v>
      </c>
      <c r="C149" s="4" t="s">
        <v>10</v>
      </c>
      <c r="D149" s="5">
        <v>46054.0</v>
      </c>
      <c r="E149" s="4" t="s">
        <v>274</v>
      </c>
      <c r="F149" s="4" t="s">
        <v>270</v>
      </c>
    </row>
    <row r="150" ht="15.75" customHeight="1">
      <c r="A150" s="4">
        <v>4.8601123E7</v>
      </c>
      <c r="B150" s="4" t="s">
        <v>150</v>
      </c>
      <c r="C150" s="4" t="s">
        <v>151</v>
      </c>
      <c r="D150" s="5">
        <v>46030.0</v>
      </c>
      <c r="E150" s="4" t="s">
        <v>271</v>
      </c>
      <c r="F150" s="4" t="s">
        <v>272</v>
      </c>
    </row>
    <row r="151" ht="15.75" customHeight="1">
      <c r="A151" s="4">
        <v>4.9962498E7</v>
      </c>
      <c r="B151" s="4" t="s">
        <v>81</v>
      </c>
      <c r="C151" s="4" t="s">
        <v>82</v>
      </c>
      <c r="D151" s="5">
        <v>46065.0</v>
      </c>
      <c r="E151" s="4" t="s">
        <v>271</v>
      </c>
      <c r="F151" s="4" t="s">
        <v>270</v>
      </c>
    </row>
    <row r="152" ht="15.75" customHeight="1">
      <c r="A152" s="4">
        <v>4.9888013E7</v>
      </c>
      <c r="B152" s="4" t="s">
        <v>47</v>
      </c>
      <c r="C152" s="4" t="s">
        <v>48</v>
      </c>
      <c r="D152" s="5">
        <v>46064.0</v>
      </c>
      <c r="E152" s="4" t="s">
        <v>269</v>
      </c>
      <c r="F152" s="4" t="s">
        <v>270</v>
      </c>
    </row>
    <row r="153" ht="15.75" customHeight="1">
      <c r="A153" s="4">
        <v>4.9724525E7</v>
      </c>
      <c r="B153" s="4" t="s">
        <v>152</v>
      </c>
      <c r="C153" s="4" t="s">
        <v>153</v>
      </c>
      <c r="D153" s="5">
        <v>46057.0</v>
      </c>
      <c r="E153" s="4" t="s">
        <v>269</v>
      </c>
      <c r="F153" s="4" t="s">
        <v>270</v>
      </c>
    </row>
    <row r="154" ht="15.75" customHeight="1">
      <c r="A154" s="4">
        <v>4.9381977E7</v>
      </c>
      <c r="B154" s="4" t="s">
        <v>39</v>
      </c>
      <c r="C154" s="4" t="s">
        <v>40</v>
      </c>
      <c r="D154" s="5">
        <v>46055.0</v>
      </c>
      <c r="E154" s="4" t="s">
        <v>276</v>
      </c>
      <c r="F154" s="4" t="s">
        <v>270</v>
      </c>
    </row>
    <row r="155" ht="15.75" customHeight="1">
      <c r="A155" s="4">
        <v>4.9888483E7</v>
      </c>
      <c r="B155" s="4" t="s">
        <v>73</v>
      </c>
      <c r="C155" s="4" t="s">
        <v>74</v>
      </c>
      <c r="D155" s="5">
        <v>46064.0</v>
      </c>
      <c r="E155" s="4" t="s">
        <v>269</v>
      </c>
      <c r="F155" s="4" t="s">
        <v>270</v>
      </c>
    </row>
    <row r="156" ht="15.75" customHeight="1">
      <c r="A156" s="4">
        <v>4.8431441E7</v>
      </c>
      <c r="B156" s="4" t="s">
        <v>55</v>
      </c>
      <c r="C156" s="4" t="s">
        <v>56</v>
      </c>
      <c r="D156" s="5">
        <v>46023.0</v>
      </c>
      <c r="E156" s="4" t="s">
        <v>271</v>
      </c>
      <c r="F156" s="4" t="s">
        <v>272</v>
      </c>
    </row>
    <row r="157" ht="15.75" customHeight="1">
      <c r="A157" s="4">
        <v>4.9298812E7</v>
      </c>
      <c r="B157" s="4" t="s">
        <v>154</v>
      </c>
      <c r="C157" s="4" t="s">
        <v>155</v>
      </c>
      <c r="D157" s="5">
        <v>46053.0</v>
      </c>
      <c r="E157" s="4" t="s">
        <v>273</v>
      </c>
      <c r="F157" s="4" t="s">
        <v>272</v>
      </c>
    </row>
    <row r="158" ht="15.75" customHeight="1">
      <c r="A158" s="4">
        <v>4.9298811E7</v>
      </c>
      <c r="B158" s="4" t="s">
        <v>29</v>
      </c>
      <c r="C158" s="4" t="s">
        <v>30</v>
      </c>
      <c r="D158" s="5">
        <v>46053.0</v>
      </c>
      <c r="E158" s="4" t="s">
        <v>273</v>
      </c>
      <c r="F158" s="4" t="s">
        <v>272</v>
      </c>
    </row>
    <row r="159" ht="15.75" customHeight="1">
      <c r="A159" s="4">
        <v>4.8675299E7</v>
      </c>
      <c r="B159" s="4" t="s">
        <v>73</v>
      </c>
      <c r="C159" s="4" t="s">
        <v>74</v>
      </c>
      <c r="D159" s="5">
        <v>46038.0</v>
      </c>
      <c r="E159" s="4" t="s">
        <v>277</v>
      </c>
      <c r="F159" s="4" t="s">
        <v>272</v>
      </c>
    </row>
    <row r="160" ht="15.75" customHeight="1">
      <c r="A160" s="4">
        <v>4.9648315E7</v>
      </c>
      <c r="B160" s="4" t="s">
        <v>43</v>
      </c>
      <c r="C160" s="4" t="s">
        <v>44</v>
      </c>
      <c r="D160" s="5">
        <v>46060.0</v>
      </c>
      <c r="E160" s="4" t="s">
        <v>273</v>
      </c>
      <c r="F160" s="4" t="s">
        <v>270</v>
      </c>
    </row>
    <row r="161" ht="15.75" customHeight="1">
      <c r="A161" s="4">
        <v>4.8435979E7</v>
      </c>
      <c r="B161" s="4" t="s">
        <v>156</v>
      </c>
      <c r="C161" s="4" t="s">
        <v>157</v>
      </c>
      <c r="D161" s="5">
        <v>46025.0</v>
      </c>
      <c r="E161" s="4" t="s">
        <v>273</v>
      </c>
      <c r="F161" s="4" t="s">
        <v>272</v>
      </c>
    </row>
    <row r="162" ht="15.75" customHeight="1">
      <c r="A162" s="4">
        <v>4.8431194E7</v>
      </c>
      <c r="B162" s="4" t="s">
        <v>55</v>
      </c>
      <c r="C162" s="4" t="s">
        <v>56</v>
      </c>
      <c r="D162" s="5">
        <v>46023.0</v>
      </c>
      <c r="E162" s="4" t="s">
        <v>271</v>
      </c>
      <c r="F162" s="4" t="s">
        <v>272</v>
      </c>
    </row>
    <row r="163" ht="15.75" customHeight="1">
      <c r="A163" s="4">
        <v>4.8903695E7</v>
      </c>
      <c r="B163" s="4" t="s">
        <v>158</v>
      </c>
      <c r="C163" s="4" t="s">
        <v>159</v>
      </c>
      <c r="D163" s="5">
        <v>46048.0</v>
      </c>
      <c r="E163" s="4" t="s">
        <v>276</v>
      </c>
      <c r="F163" s="4" t="s">
        <v>272</v>
      </c>
    </row>
    <row r="164" ht="15.75" customHeight="1">
      <c r="A164" s="4">
        <v>4.8748041E7</v>
      </c>
      <c r="B164" s="4" t="s">
        <v>59</v>
      </c>
      <c r="C164" s="4" t="s">
        <v>60</v>
      </c>
      <c r="D164" s="5">
        <v>46045.0</v>
      </c>
      <c r="E164" s="4" t="s">
        <v>277</v>
      </c>
      <c r="F164" s="4" t="s">
        <v>272</v>
      </c>
    </row>
    <row r="165" ht="15.75" customHeight="1">
      <c r="A165" s="4">
        <v>4.874694E7</v>
      </c>
      <c r="B165" s="4" t="s">
        <v>160</v>
      </c>
      <c r="C165" s="4" t="s">
        <v>161</v>
      </c>
      <c r="D165" s="5">
        <v>46044.0</v>
      </c>
      <c r="E165" s="4" t="s">
        <v>271</v>
      </c>
      <c r="F165" s="4" t="s">
        <v>272</v>
      </c>
    </row>
    <row r="166" ht="15.75" customHeight="1">
      <c r="A166" s="4">
        <v>5.0326223E7</v>
      </c>
      <c r="B166" s="4" t="s">
        <v>59</v>
      </c>
      <c r="C166" s="4" t="s">
        <v>60</v>
      </c>
      <c r="D166" s="5">
        <v>46075.0</v>
      </c>
      <c r="E166" s="4" t="s">
        <v>274</v>
      </c>
      <c r="F166" s="4" t="s">
        <v>270</v>
      </c>
    </row>
    <row r="167" ht="15.75" customHeight="1">
      <c r="A167" s="4">
        <v>5.0343345E7</v>
      </c>
      <c r="B167" s="4" t="s">
        <v>162</v>
      </c>
      <c r="D167" s="5">
        <v>46075.0</v>
      </c>
      <c r="E167" s="4" t="s">
        <v>274</v>
      </c>
      <c r="F167" s="4" t="s">
        <v>270</v>
      </c>
    </row>
    <row r="168" ht="15.75" customHeight="1">
      <c r="A168" s="4">
        <v>5.0356991E7</v>
      </c>
      <c r="B168" s="4" t="s">
        <v>163</v>
      </c>
      <c r="C168" s="4" t="s">
        <v>164</v>
      </c>
      <c r="D168" s="5">
        <v>46077.0</v>
      </c>
      <c r="E168" s="4" t="s">
        <v>275</v>
      </c>
      <c r="F168" s="4" t="s">
        <v>270</v>
      </c>
    </row>
    <row r="169" ht="15.75" customHeight="1">
      <c r="A169" s="4">
        <v>4.868173E7</v>
      </c>
      <c r="B169" s="4" t="s">
        <v>39</v>
      </c>
      <c r="C169" s="4" t="s">
        <v>40</v>
      </c>
      <c r="D169" s="5">
        <v>46039.0</v>
      </c>
      <c r="E169" s="4" t="s">
        <v>273</v>
      </c>
      <c r="F169" s="4" t="s">
        <v>272</v>
      </c>
    </row>
    <row r="170" ht="15.75" customHeight="1">
      <c r="A170" s="4">
        <v>4.871317E7</v>
      </c>
      <c r="B170" s="4" t="s">
        <v>105</v>
      </c>
      <c r="D170" s="5">
        <v>46041.0</v>
      </c>
      <c r="E170" s="4" t="s">
        <v>276</v>
      </c>
      <c r="F170" s="4" t="s">
        <v>272</v>
      </c>
    </row>
    <row r="171" ht="15.75" customHeight="1">
      <c r="A171" s="4">
        <v>4.8431461E7</v>
      </c>
      <c r="B171" s="4" t="s">
        <v>55</v>
      </c>
      <c r="C171" s="4" t="s">
        <v>56</v>
      </c>
      <c r="D171" s="5">
        <v>46023.0</v>
      </c>
      <c r="E171" s="4" t="s">
        <v>271</v>
      </c>
      <c r="F171" s="4" t="s">
        <v>272</v>
      </c>
    </row>
    <row r="172" ht="15.75" customHeight="1">
      <c r="A172" s="4">
        <v>4.9305141E7</v>
      </c>
      <c r="B172" s="4" t="s">
        <v>51</v>
      </c>
      <c r="C172" s="4" t="s">
        <v>52</v>
      </c>
      <c r="D172" s="5">
        <v>46053.0</v>
      </c>
      <c r="E172" s="4" t="s">
        <v>273</v>
      </c>
      <c r="F172" s="4" t="s">
        <v>272</v>
      </c>
    </row>
    <row r="173" ht="15.75" customHeight="1">
      <c r="A173" s="4">
        <v>4.8431464E7</v>
      </c>
      <c r="B173" s="4" t="s">
        <v>165</v>
      </c>
      <c r="C173" s="4" t="s">
        <v>166</v>
      </c>
      <c r="D173" s="5">
        <v>46024.0</v>
      </c>
      <c r="E173" s="4" t="s">
        <v>277</v>
      </c>
      <c r="F173" s="4" t="s">
        <v>272</v>
      </c>
    </row>
    <row r="174" ht="15.75" customHeight="1">
      <c r="A174" s="4">
        <v>4.9410292E7</v>
      </c>
      <c r="B174" s="4" t="s">
        <v>79</v>
      </c>
      <c r="C174" s="4" t="s">
        <v>80</v>
      </c>
      <c r="D174" s="5">
        <v>46056.0</v>
      </c>
      <c r="E174" s="4" t="s">
        <v>275</v>
      </c>
      <c r="F174" s="4" t="s">
        <v>270</v>
      </c>
    </row>
    <row r="175" ht="15.75" customHeight="1">
      <c r="A175" s="4">
        <v>4.8435985E7</v>
      </c>
      <c r="B175" s="4" t="s">
        <v>167</v>
      </c>
      <c r="C175" s="4" t="s">
        <v>168</v>
      </c>
      <c r="D175" s="5">
        <v>46025.0</v>
      </c>
      <c r="E175" s="4" t="s">
        <v>273</v>
      </c>
      <c r="F175" s="4" t="s">
        <v>272</v>
      </c>
    </row>
    <row r="176" ht="15.75" customHeight="1">
      <c r="A176" s="4">
        <v>4.972451E7</v>
      </c>
      <c r="B176" s="4" t="s">
        <v>169</v>
      </c>
      <c r="C176" s="4" t="s">
        <v>170</v>
      </c>
      <c r="D176" s="5">
        <v>46056.0</v>
      </c>
      <c r="E176" s="4" t="s">
        <v>275</v>
      </c>
      <c r="F176" s="4" t="s">
        <v>270</v>
      </c>
    </row>
    <row r="177" ht="15.75" customHeight="1">
      <c r="A177" s="4">
        <v>4.9513092E7</v>
      </c>
      <c r="B177" s="4" t="s">
        <v>171</v>
      </c>
      <c r="C177" s="4" t="s">
        <v>172</v>
      </c>
      <c r="D177" s="5">
        <v>46057.0</v>
      </c>
      <c r="E177" s="4" t="s">
        <v>269</v>
      </c>
      <c r="F177" s="4" t="s">
        <v>270</v>
      </c>
    </row>
    <row r="178" ht="15.75" customHeight="1">
      <c r="A178" s="4">
        <v>4.9724498E7</v>
      </c>
      <c r="B178" s="4" t="s">
        <v>79</v>
      </c>
      <c r="C178" s="4" t="s">
        <v>80</v>
      </c>
      <c r="D178" s="5">
        <v>46050.0</v>
      </c>
      <c r="E178" s="4" t="s">
        <v>269</v>
      </c>
      <c r="F178" s="4" t="s">
        <v>272</v>
      </c>
    </row>
    <row r="179" ht="15.75" customHeight="1">
      <c r="A179" s="4">
        <v>4.8435984E7</v>
      </c>
      <c r="B179" s="4" t="s">
        <v>173</v>
      </c>
      <c r="C179" s="4" t="s">
        <v>174</v>
      </c>
      <c r="D179" s="5">
        <v>46025.0</v>
      </c>
      <c r="E179" s="4" t="s">
        <v>273</v>
      </c>
      <c r="F179" s="4" t="s">
        <v>272</v>
      </c>
    </row>
    <row r="180" ht="15.75" customHeight="1">
      <c r="A180" s="4">
        <v>4.9889538E7</v>
      </c>
      <c r="B180" s="4" t="s">
        <v>43</v>
      </c>
      <c r="C180" s="4" t="s">
        <v>44</v>
      </c>
      <c r="D180" s="5">
        <v>46064.0</v>
      </c>
      <c r="E180" s="4" t="s">
        <v>269</v>
      </c>
      <c r="F180" s="4" t="s">
        <v>270</v>
      </c>
    </row>
    <row r="181" ht="15.75" customHeight="1">
      <c r="A181" s="4">
        <v>4.8601129E7</v>
      </c>
      <c r="B181" s="4" t="s">
        <v>175</v>
      </c>
      <c r="C181" s="4" t="s">
        <v>176</v>
      </c>
      <c r="D181" s="5">
        <v>46030.0</v>
      </c>
      <c r="E181" s="4" t="s">
        <v>271</v>
      </c>
      <c r="F181" s="4" t="s">
        <v>272</v>
      </c>
    </row>
    <row r="182" ht="15.75" customHeight="1">
      <c r="A182" s="4">
        <v>4.8912824E7</v>
      </c>
      <c r="B182" s="4" t="s">
        <v>169</v>
      </c>
      <c r="C182" s="4" t="s">
        <v>170</v>
      </c>
      <c r="D182" s="5">
        <v>46048.0</v>
      </c>
      <c r="E182" s="4" t="s">
        <v>276</v>
      </c>
      <c r="F182" s="4" t="s">
        <v>272</v>
      </c>
    </row>
    <row r="183" ht="15.75" customHeight="1">
      <c r="A183" s="4">
        <v>4.9250013E7</v>
      </c>
      <c r="B183" s="4" t="s">
        <v>110</v>
      </c>
      <c r="C183" s="4" t="s">
        <v>111</v>
      </c>
      <c r="D183" s="5">
        <v>46051.0</v>
      </c>
      <c r="E183" s="4" t="s">
        <v>271</v>
      </c>
      <c r="F183" s="4" t="s">
        <v>272</v>
      </c>
    </row>
    <row r="184" ht="15.75" customHeight="1">
      <c r="A184" s="4">
        <v>4.8790441E7</v>
      </c>
      <c r="B184" s="4" t="s">
        <v>177</v>
      </c>
      <c r="C184" s="4" t="s">
        <v>178</v>
      </c>
      <c r="D184" s="5">
        <v>46046.0</v>
      </c>
      <c r="E184" s="4" t="s">
        <v>273</v>
      </c>
      <c r="F184" s="4" t="s">
        <v>272</v>
      </c>
    </row>
    <row r="185" ht="15.75" customHeight="1">
      <c r="A185" s="4">
        <v>5.0032494E7</v>
      </c>
      <c r="B185" s="4" t="s">
        <v>134</v>
      </c>
      <c r="C185" s="4" t="s">
        <v>135</v>
      </c>
      <c r="D185" s="5">
        <v>46068.0</v>
      </c>
      <c r="E185" s="4" t="s">
        <v>274</v>
      </c>
      <c r="F185" s="4" t="s">
        <v>270</v>
      </c>
    </row>
    <row r="186" ht="15.75" customHeight="1">
      <c r="A186" s="4">
        <v>4.9961957E7</v>
      </c>
      <c r="B186" s="4" t="s">
        <v>118</v>
      </c>
      <c r="C186" s="4" t="s">
        <v>119</v>
      </c>
      <c r="D186" s="5">
        <v>46065.0</v>
      </c>
      <c r="E186" s="4" t="s">
        <v>271</v>
      </c>
      <c r="F186" s="4" t="s">
        <v>270</v>
      </c>
    </row>
    <row r="187" ht="15.75" customHeight="1">
      <c r="A187" s="4">
        <v>4.9961929E7</v>
      </c>
      <c r="B187" s="4" t="s">
        <v>61</v>
      </c>
      <c r="C187" s="4" t="s">
        <v>62</v>
      </c>
      <c r="D187" s="5">
        <v>46065.0</v>
      </c>
      <c r="E187" s="4" t="s">
        <v>271</v>
      </c>
      <c r="F187" s="4" t="s">
        <v>270</v>
      </c>
    </row>
    <row r="188" ht="15.75" customHeight="1">
      <c r="A188" s="4">
        <v>5.0032452E7</v>
      </c>
      <c r="B188" s="4" t="s">
        <v>31</v>
      </c>
      <c r="C188" s="4" t="s">
        <v>32</v>
      </c>
      <c r="D188" s="5">
        <v>46068.0</v>
      </c>
      <c r="E188" s="4" t="s">
        <v>274</v>
      </c>
      <c r="F188" s="4" t="s">
        <v>270</v>
      </c>
    </row>
    <row r="189" ht="15.75" customHeight="1">
      <c r="A189" s="4">
        <v>5.0032419E7</v>
      </c>
      <c r="B189" s="4" t="s">
        <v>43</v>
      </c>
      <c r="C189" s="4" t="s">
        <v>44</v>
      </c>
      <c r="D189" s="5">
        <v>46068.0</v>
      </c>
      <c r="E189" s="4" t="s">
        <v>274</v>
      </c>
      <c r="F189" s="4" t="s">
        <v>270</v>
      </c>
    </row>
    <row r="190" ht="15.75" customHeight="1">
      <c r="A190" s="4">
        <v>4.9395328E7</v>
      </c>
      <c r="B190" s="4" t="s">
        <v>79</v>
      </c>
      <c r="C190" s="4" t="s">
        <v>80</v>
      </c>
      <c r="D190" s="5">
        <v>46053.0</v>
      </c>
      <c r="E190" s="4" t="s">
        <v>273</v>
      </c>
      <c r="F190" s="4" t="s">
        <v>272</v>
      </c>
    </row>
    <row r="191" ht="15.75" customHeight="1">
      <c r="A191" s="4">
        <v>4.9671642E7</v>
      </c>
      <c r="B191" s="4" t="s">
        <v>7</v>
      </c>
      <c r="C191" s="4" t="s">
        <v>8</v>
      </c>
      <c r="D191" s="5">
        <v>46062.0</v>
      </c>
      <c r="E191" s="4" t="s">
        <v>276</v>
      </c>
      <c r="F191" s="4" t="s">
        <v>270</v>
      </c>
    </row>
    <row r="192" ht="15.75" customHeight="1">
      <c r="A192" s="4">
        <v>5.0031443E7</v>
      </c>
      <c r="B192" s="4" t="s">
        <v>25</v>
      </c>
      <c r="C192" s="4" t="s">
        <v>26</v>
      </c>
      <c r="D192" s="5">
        <v>46067.0</v>
      </c>
      <c r="E192" s="4" t="s">
        <v>273</v>
      </c>
      <c r="F192" s="4" t="s">
        <v>270</v>
      </c>
    </row>
    <row r="193" ht="15.75" customHeight="1">
      <c r="A193" s="4">
        <v>4.9888209E7</v>
      </c>
      <c r="B193" s="4" t="s">
        <v>43</v>
      </c>
      <c r="C193" s="4" t="s">
        <v>44</v>
      </c>
      <c r="D193" s="5">
        <v>46064.0</v>
      </c>
      <c r="E193" s="4" t="s">
        <v>269</v>
      </c>
      <c r="F193" s="4" t="s">
        <v>270</v>
      </c>
    </row>
    <row r="194" ht="15.75" customHeight="1">
      <c r="A194" s="4">
        <v>5.0023781E7</v>
      </c>
      <c r="B194" s="4" t="s">
        <v>31</v>
      </c>
      <c r="C194" s="4" t="s">
        <v>32</v>
      </c>
      <c r="D194" s="5">
        <v>46066.0</v>
      </c>
      <c r="E194" s="4" t="s">
        <v>277</v>
      </c>
      <c r="F194" s="4" t="s">
        <v>270</v>
      </c>
    </row>
    <row r="195" ht="15.75" customHeight="1">
      <c r="A195" s="4">
        <v>4.9724506E7</v>
      </c>
      <c r="B195" s="4" t="s">
        <v>27</v>
      </c>
      <c r="C195" s="4" t="s">
        <v>28</v>
      </c>
      <c r="D195" s="5">
        <v>46052.0</v>
      </c>
      <c r="E195" s="4" t="s">
        <v>277</v>
      </c>
      <c r="F195" s="4" t="s">
        <v>272</v>
      </c>
    </row>
    <row r="196" ht="15.75" customHeight="1">
      <c r="A196" s="4">
        <v>4.9304149E7</v>
      </c>
      <c r="B196" s="4" t="s">
        <v>118</v>
      </c>
      <c r="C196" s="4" t="s">
        <v>119</v>
      </c>
      <c r="D196" s="5">
        <v>46054.0</v>
      </c>
      <c r="E196" s="4" t="s">
        <v>274</v>
      </c>
      <c r="F196" s="4" t="s">
        <v>270</v>
      </c>
    </row>
    <row r="197" ht="15.75" customHeight="1">
      <c r="A197" s="4">
        <v>4.871239E7</v>
      </c>
      <c r="B197" s="4" t="s">
        <v>179</v>
      </c>
      <c r="C197" s="4" t="s">
        <v>123</v>
      </c>
      <c r="D197" s="5">
        <v>46041.0</v>
      </c>
      <c r="E197" s="4" t="s">
        <v>276</v>
      </c>
      <c r="F197" s="4" t="s">
        <v>272</v>
      </c>
    </row>
    <row r="198" ht="15.75" customHeight="1">
      <c r="A198" s="4">
        <v>4.9671634E7</v>
      </c>
      <c r="B198" s="4" t="s">
        <v>69</v>
      </c>
      <c r="C198" s="4" t="s">
        <v>70</v>
      </c>
      <c r="D198" s="5">
        <v>46062.0</v>
      </c>
      <c r="E198" s="4" t="s">
        <v>276</v>
      </c>
      <c r="F198" s="4" t="s">
        <v>270</v>
      </c>
    </row>
    <row r="199" ht="15.75" customHeight="1">
      <c r="A199" s="4">
        <v>4.9397349E7</v>
      </c>
      <c r="B199" s="4" t="s">
        <v>73</v>
      </c>
      <c r="C199" s="4" t="s">
        <v>74</v>
      </c>
      <c r="D199" s="5">
        <v>46056.0</v>
      </c>
      <c r="E199" s="4" t="s">
        <v>275</v>
      </c>
      <c r="F199" s="4" t="s">
        <v>270</v>
      </c>
    </row>
    <row r="200" ht="15.75" customHeight="1">
      <c r="A200" s="4">
        <v>4.9888207E7</v>
      </c>
      <c r="B200" s="4" t="s">
        <v>98</v>
      </c>
      <c r="C200" s="4" t="s">
        <v>99</v>
      </c>
      <c r="D200" s="5">
        <v>46064.0</v>
      </c>
      <c r="E200" s="4" t="s">
        <v>269</v>
      </c>
      <c r="F200" s="4" t="s">
        <v>270</v>
      </c>
    </row>
    <row r="201" ht="15.75" customHeight="1">
      <c r="A201" s="4">
        <v>4.8642286E7</v>
      </c>
      <c r="B201" s="4" t="s">
        <v>180</v>
      </c>
      <c r="C201" s="4" t="s">
        <v>181</v>
      </c>
      <c r="D201" s="5">
        <v>46035.0</v>
      </c>
      <c r="E201" s="4" t="s">
        <v>275</v>
      </c>
      <c r="F201" s="4" t="s">
        <v>272</v>
      </c>
    </row>
    <row r="202" ht="15.75" customHeight="1">
      <c r="A202" s="4">
        <v>4.9885944E7</v>
      </c>
      <c r="B202" s="4" t="s">
        <v>182</v>
      </c>
      <c r="C202" s="4" t="s">
        <v>183</v>
      </c>
      <c r="D202" s="5">
        <v>46038.0</v>
      </c>
      <c r="E202" s="4" t="s">
        <v>277</v>
      </c>
      <c r="F202" s="4" t="s">
        <v>272</v>
      </c>
    </row>
    <row r="203" ht="15.75" customHeight="1">
      <c r="A203" s="4">
        <v>4.8903693E7</v>
      </c>
      <c r="B203" s="4" t="s">
        <v>31</v>
      </c>
      <c r="C203" s="4" t="s">
        <v>32</v>
      </c>
      <c r="D203" s="5">
        <v>46048.0</v>
      </c>
      <c r="E203" s="4" t="s">
        <v>276</v>
      </c>
      <c r="F203" s="4" t="s">
        <v>272</v>
      </c>
    </row>
    <row r="204" ht="15.75" customHeight="1">
      <c r="A204" s="4">
        <v>4.9396426E7</v>
      </c>
      <c r="B204" s="4" t="s">
        <v>184</v>
      </c>
      <c r="C204" s="4" t="s">
        <v>185</v>
      </c>
      <c r="D204" s="5">
        <v>46056.0</v>
      </c>
      <c r="E204" s="4" t="s">
        <v>275</v>
      </c>
      <c r="F204" s="4" t="s">
        <v>270</v>
      </c>
    </row>
    <row r="205" ht="15.75" customHeight="1">
      <c r="A205" s="4">
        <v>4.929892E7</v>
      </c>
      <c r="B205" s="4" t="s">
        <v>37</v>
      </c>
      <c r="C205" s="4" t="s">
        <v>38</v>
      </c>
      <c r="D205" s="5">
        <v>46053.0</v>
      </c>
      <c r="E205" s="4" t="s">
        <v>273</v>
      </c>
      <c r="F205" s="4" t="s">
        <v>272</v>
      </c>
    </row>
    <row r="206" ht="15.75" customHeight="1">
      <c r="A206" s="4">
        <v>4.9303224E7</v>
      </c>
      <c r="B206" s="4" t="s">
        <v>108</v>
      </c>
      <c r="C206" s="4" t="s">
        <v>109</v>
      </c>
      <c r="D206" s="5">
        <v>46053.0</v>
      </c>
      <c r="E206" s="4" t="s">
        <v>273</v>
      </c>
      <c r="F206" s="4" t="s">
        <v>272</v>
      </c>
    </row>
    <row r="207" ht="15.75" customHeight="1">
      <c r="A207" s="4">
        <v>5.0032035E7</v>
      </c>
      <c r="B207" s="4" t="s">
        <v>186</v>
      </c>
      <c r="C207" s="4" t="s">
        <v>187</v>
      </c>
      <c r="D207" s="5">
        <v>46068.0</v>
      </c>
      <c r="E207" s="4" t="s">
        <v>274</v>
      </c>
      <c r="F207" s="4" t="s">
        <v>270</v>
      </c>
    </row>
    <row r="208" ht="15.75" customHeight="1">
      <c r="A208" s="4">
        <v>4.9517751E7</v>
      </c>
      <c r="B208" s="4" t="s">
        <v>188</v>
      </c>
      <c r="C208" s="4" t="s">
        <v>189</v>
      </c>
      <c r="D208" s="5">
        <v>46057.0</v>
      </c>
      <c r="E208" s="4" t="s">
        <v>269</v>
      </c>
      <c r="F208" s="4" t="s">
        <v>270</v>
      </c>
    </row>
    <row r="209" ht="15.75" customHeight="1">
      <c r="A209" s="4">
        <v>4.8628296E7</v>
      </c>
      <c r="B209" s="4" t="s">
        <v>190</v>
      </c>
      <c r="D209" s="5">
        <v>46032.0</v>
      </c>
      <c r="E209" s="4" t="s">
        <v>273</v>
      </c>
      <c r="F209" s="4" t="s">
        <v>272</v>
      </c>
    </row>
    <row r="210" ht="15.75" customHeight="1">
      <c r="A210" s="4">
        <v>5.0010273E7</v>
      </c>
      <c r="B210" s="4" t="s">
        <v>43</v>
      </c>
      <c r="C210" s="4" t="s">
        <v>44</v>
      </c>
      <c r="D210" s="5">
        <v>46066.0</v>
      </c>
      <c r="E210" s="4" t="s">
        <v>277</v>
      </c>
      <c r="F210" s="4" t="s">
        <v>270</v>
      </c>
    </row>
    <row r="211" ht="15.75" customHeight="1">
      <c r="A211" s="4">
        <v>4.841282E7</v>
      </c>
      <c r="B211" s="4" t="s">
        <v>191</v>
      </c>
      <c r="C211" s="4" t="s">
        <v>192</v>
      </c>
      <c r="D211" s="5">
        <v>46023.0</v>
      </c>
      <c r="E211" s="4" t="s">
        <v>271</v>
      </c>
      <c r="F211" s="4" t="s">
        <v>272</v>
      </c>
    </row>
    <row r="212" ht="15.75" customHeight="1">
      <c r="A212" s="4">
        <v>4.9303884E7</v>
      </c>
      <c r="B212" s="4" t="s">
        <v>7</v>
      </c>
      <c r="C212" s="4" t="s">
        <v>8</v>
      </c>
      <c r="D212" s="5">
        <v>46054.0</v>
      </c>
      <c r="E212" s="4" t="s">
        <v>274</v>
      </c>
      <c r="F212" s="4" t="s">
        <v>270</v>
      </c>
    </row>
    <row r="213" ht="15.75" customHeight="1">
      <c r="A213" s="4">
        <v>4.8675298E7</v>
      </c>
      <c r="B213" s="4" t="s">
        <v>37</v>
      </c>
      <c r="C213" s="4" t="s">
        <v>38</v>
      </c>
      <c r="D213" s="5">
        <v>46038.0</v>
      </c>
      <c r="E213" s="4" t="s">
        <v>277</v>
      </c>
      <c r="F213" s="4" t="s">
        <v>272</v>
      </c>
    </row>
    <row r="214" ht="15.75" customHeight="1">
      <c r="A214" s="4">
        <v>4.8686469E7</v>
      </c>
      <c r="B214" s="4" t="s">
        <v>55</v>
      </c>
      <c r="C214" s="4" t="s">
        <v>56</v>
      </c>
      <c r="D214" s="5">
        <v>46038.0</v>
      </c>
      <c r="E214" s="4" t="s">
        <v>277</v>
      </c>
      <c r="F214" s="4" t="s">
        <v>272</v>
      </c>
    </row>
    <row r="215" ht="15.75" customHeight="1">
      <c r="A215" s="4">
        <v>4.9962481E7</v>
      </c>
      <c r="B215" s="4" t="s">
        <v>69</v>
      </c>
      <c r="C215" s="4" t="s">
        <v>70</v>
      </c>
      <c r="D215" s="5">
        <v>46065.0</v>
      </c>
      <c r="E215" s="4" t="s">
        <v>271</v>
      </c>
      <c r="F215" s="4" t="s">
        <v>270</v>
      </c>
    </row>
    <row r="216" ht="15.75" customHeight="1">
      <c r="A216" s="4">
        <v>4.8720809E7</v>
      </c>
      <c r="B216" s="4" t="s">
        <v>59</v>
      </c>
      <c r="C216" s="4" t="s">
        <v>60</v>
      </c>
      <c r="D216" s="5">
        <v>46042.0</v>
      </c>
      <c r="E216" s="4" t="s">
        <v>275</v>
      </c>
      <c r="F216" s="4" t="s">
        <v>272</v>
      </c>
    </row>
    <row r="217" ht="15.75" customHeight="1">
      <c r="A217" s="4">
        <v>4.8995017E7</v>
      </c>
      <c r="B217" s="4" t="s">
        <v>7</v>
      </c>
      <c r="C217" s="4" t="s">
        <v>8</v>
      </c>
      <c r="D217" s="5">
        <v>46045.0</v>
      </c>
      <c r="E217" s="4" t="s">
        <v>277</v>
      </c>
      <c r="F217" s="4" t="s">
        <v>272</v>
      </c>
    </row>
    <row r="218" ht="15.75" customHeight="1">
      <c r="A218" s="4">
        <v>4.9962483E7</v>
      </c>
      <c r="B218" s="4" t="s">
        <v>193</v>
      </c>
      <c r="C218" s="4" t="s">
        <v>194</v>
      </c>
      <c r="D218" s="5">
        <v>46065.0</v>
      </c>
      <c r="E218" s="4" t="s">
        <v>271</v>
      </c>
      <c r="F218" s="4" t="s">
        <v>270</v>
      </c>
    </row>
    <row r="219" ht="15.75" customHeight="1">
      <c r="A219" s="4">
        <v>4.9888236E7</v>
      </c>
      <c r="B219" s="4" t="s">
        <v>134</v>
      </c>
      <c r="C219" s="4" t="s">
        <v>135</v>
      </c>
      <c r="D219" s="5">
        <v>46064.0</v>
      </c>
      <c r="E219" s="4" t="s">
        <v>269</v>
      </c>
      <c r="F219" s="4" t="s">
        <v>270</v>
      </c>
    </row>
    <row r="220" ht="15.75" customHeight="1">
      <c r="A220" s="4">
        <v>4.9512975E7</v>
      </c>
      <c r="B220" s="4" t="s">
        <v>43</v>
      </c>
      <c r="C220" s="4" t="s">
        <v>44</v>
      </c>
      <c r="D220" s="5">
        <v>46057.0</v>
      </c>
      <c r="E220" s="4" t="s">
        <v>269</v>
      </c>
      <c r="F220" s="4" t="s">
        <v>270</v>
      </c>
    </row>
    <row r="221" ht="15.75" customHeight="1">
      <c r="A221" s="4">
        <v>4.9304164E7</v>
      </c>
      <c r="B221" s="4" t="s">
        <v>195</v>
      </c>
      <c r="C221" s="4" t="s">
        <v>196</v>
      </c>
      <c r="D221" s="5">
        <v>46054.0</v>
      </c>
      <c r="E221" s="4" t="s">
        <v>274</v>
      </c>
      <c r="F221" s="4" t="s">
        <v>270</v>
      </c>
    </row>
    <row r="222" ht="15.75" customHeight="1">
      <c r="A222" s="4">
        <v>4.9724522E7</v>
      </c>
      <c r="B222" s="4" t="s">
        <v>85</v>
      </c>
      <c r="C222" s="4" t="s">
        <v>86</v>
      </c>
      <c r="D222" s="5">
        <v>46057.0</v>
      </c>
      <c r="E222" s="4" t="s">
        <v>269</v>
      </c>
      <c r="F222" s="4" t="s">
        <v>270</v>
      </c>
    </row>
    <row r="223" ht="15.75" customHeight="1">
      <c r="A223" s="4">
        <v>4.8722316E7</v>
      </c>
      <c r="B223" s="4" t="s">
        <v>75</v>
      </c>
      <c r="C223" s="4" t="s">
        <v>76</v>
      </c>
      <c r="D223" s="5">
        <v>46042.0</v>
      </c>
      <c r="E223" s="4" t="s">
        <v>275</v>
      </c>
      <c r="F223" s="4" t="s">
        <v>272</v>
      </c>
    </row>
    <row r="224" ht="15.75" customHeight="1">
      <c r="A224" s="4">
        <v>4.9030071E7</v>
      </c>
      <c r="B224" s="4" t="s">
        <v>29</v>
      </c>
      <c r="C224" s="4" t="s">
        <v>30</v>
      </c>
      <c r="D224" s="5">
        <v>46042.0</v>
      </c>
      <c r="E224" s="4" t="s">
        <v>275</v>
      </c>
      <c r="F224" s="4" t="s">
        <v>272</v>
      </c>
    </row>
    <row r="225" ht="15.75" customHeight="1">
      <c r="A225" s="4">
        <v>4.9724497E7</v>
      </c>
      <c r="B225" s="4" t="s">
        <v>29</v>
      </c>
      <c r="C225" s="4" t="s">
        <v>30</v>
      </c>
      <c r="D225" s="5">
        <v>46050.0</v>
      </c>
      <c r="E225" s="4" t="s">
        <v>269</v>
      </c>
      <c r="F225" s="4" t="s">
        <v>272</v>
      </c>
    </row>
    <row r="226" ht="15.75" customHeight="1">
      <c r="A226" s="4">
        <v>4.9030072E7</v>
      </c>
      <c r="B226" s="4" t="s">
        <v>73</v>
      </c>
      <c r="C226" s="4" t="s">
        <v>74</v>
      </c>
      <c r="D226" s="5">
        <v>46042.0</v>
      </c>
      <c r="E226" s="4" t="s">
        <v>275</v>
      </c>
      <c r="F226" s="4" t="s">
        <v>272</v>
      </c>
    </row>
    <row r="227" ht="15.75" customHeight="1">
      <c r="A227" s="4">
        <v>4.9249904E7</v>
      </c>
      <c r="B227" s="4" t="s">
        <v>89</v>
      </c>
      <c r="C227" s="4" t="s">
        <v>90</v>
      </c>
      <c r="D227" s="5">
        <v>46051.0</v>
      </c>
      <c r="E227" s="4" t="s">
        <v>271</v>
      </c>
      <c r="F227" s="4" t="s">
        <v>272</v>
      </c>
    </row>
    <row r="228" ht="15.75" customHeight="1">
      <c r="A228" s="4">
        <v>5.0032491E7</v>
      </c>
      <c r="B228" s="4" t="s">
        <v>197</v>
      </c>
      <c r="C228" s="4" t="s">
        <v>198</v>
      </c>
      <c r="D228" s="5">
        <v>46068.0</v>
      </c>
      <c r="E228" s="4" t="s">
        <v>274</v>
      </c>
      <c r="F228" s="4" t="s">
        <v>270</v>
      </c>
    </row>
    <row r="229" ht="15.75" customHeight="1">
      <c r="A229" s="4">
        <v>4.9303282E7</v>
      </c>
      <c r="B229" s="4" t="s">
        <v>51</v>
      </c>
      <c r="C229" s="4" t="s">
        <v>52</v>
      </c>
      <c r="D229" s="5">
        <v>46053.0</v>
      </c>
      <c r="E229" s="4" t="s">
        <v>273</v>
      </c>
      <c r="F229" s="4" t="s">
        <v>272</v>
      </c>
    </row>
    <row r="230" ht="15.75" customHeight="1">
      <c r="A230" s="4">
        <v>4.9711747E7</v>
      </c>
      <c r="B230" s="4" t="s">
        <v>199</v>
      </c>
      <c r="D230" s="5">
        <v>46061.0</v>
      </c>
      <c r="E230" s="4" t="s">
        <v>274</v>
      </c>
      <c r="F230" s="4" t="s">
        <v>270</v>
      </c>
    </row>
    <row r="231" ht="15.75" customHeight="1">
      <c r="A231" s="4">
        <v>4.9304147E7</v>
      </c>
      <c r="B231" s="4" t="s">
        <v>92</v>
      </c>
      <c r="C231" s="4" t="s">
        <v>93</v>
      </c>
      <c r="D231" s="5">
        <v>46054.0</v>
      </c>
      <c r="E231" s="4" t="s">
        <v>274</v>
      </c>
      <c r="F231" s="4" t="s">
        <v>270</v>
      </c>
    </row>
    <row r="232" ht="15.75" customHeight="1">
      <c r="A232" s="4">
        <v>4.8629511E7</v>
      </c>
      <c r="B232" s="4" t="s">
        <v>200</v>
      </c>
      <c r="C232" s="4" t="s">
        <v>201</v>
      </c>
      <c r="D232" s="5">
        <v>46034.0</v>
      </c>
      <c r="E232" s="4" t="s">
        <v>276</v>
      </c>
      <c r="F232" s="4" t="s">
        <v>272</v>
      </c>
    </row>
    <row r="233" ht="15.75" customHeight="1">
      <c r="A233" s="4">
        <v>4.9303281E7</v>
      </c>
      <c r="B233" s="4" t="s">
        <v>75</v>
      </c>
      <c r="C233" s="4" t="s">
        <v>76</v>
      </c>
      <c r="D233" s="5">
        <v>46053.0</v>
      </c>
      <c r="E233" s="4" t="s">
        <v>273</v>
      </c>
      <c r="F233" s="4" t="s">
        <v>272</v>
      </c>
    </row>
    <row r="234" ht="15.75" customHeight="1">
      <c r="A234" s="4">
        <v>4.8435981E7</v>
      </c>
      <c r="B234" s="4" t="s">
        <v>202</v>
      </c>
      <c r="C234" s="4" t="s">
        <v>203</v>
      </c>
      <c r="D234" s="5">
        <v>46025.0</v>
      </c>
      <c r="E234" s="4" t="s">
        <v>273</v>
      </c>
      <c r="F234" s="4" t="s">
        <v>272</v>
      </c>
    </row>
    <row r="235" ht="15.75" customHeight="1">
      <c r="A235" s="4">
        <v>4.9889537E7</v>
      </c>
      <c r="B235" s="4" t="s">
        <v>31</v>
      </c>
      <c r="C235" s="4" t="s">
        <v>32</v>
      </c>
      <c r="D235" s="5">
        <v>46064.0</v>
      </c>
      <c r="E235" s="4" t="s">
        <v>269</v>
      </c>
      <c r="F235" s="4" t="s">
        <v>270</v>
      </c>
    </row>
    <row r="236" ht="15.75" customHeight="1">
      <c r="A236" s="4">
        <v>4.9962484E7</v>
      </c>
      <c r="B236" s="4" t="s">
        <v>7</v>
      </c>
      <c r="C236" s="4" t="s">
        <v>8</v>
      </c>
      <c r="D236" s="5">
        <v>46065.0</v>
      </c>
      <c r="E236" s="4" t="s">
        <v>271</v>
      </c>
      <c r="F236" s="4" t="s">
        <v>270</v>
      </c>
    </row>
    <row r="237" ht="15.75" customHeight="1">
      <c r="A237" s="4">
        <v>4.8655035E7</v>
      </c>
      <c r="B237" s="4" t="s">
        <v>55</v>
      </c>
      <c r="C237" s="4" t="s">
        <v>56</v>
      </c>
      <c r="D237" s="5">
        <v>46032.0</v>
      </c>
      <c r="E237" s="4" t="s">
        <v>273</v>
      </c>
      <c r="F237" s="4" t="s">
        <v>272</v>
      </c>
    </row>
    <row r="238" ht="15.75" customHeight="1">
      <c r="A238" s="4">
        <v>4.8654947E7</v>
      </c>
      <c r="B238" s="4" t="s">
        <v>55</v>
      </c>
      <c r="C238" s="4" t="s">
        <v>56</v>
      </c>
      <c r="D238" s="5">
        <v>46032.0</v>
      </c>
      <c r="E238" s="4" t="s">
        <v>273</v>
      </c>
      <c r="F238" s="4" t="s">
        <v>272</v>
      </c>
    </row>
    <row r="239" ht="15.75" customHeight="1">
      <c r="A239" s="4">
        <v>4.866583E7</v>
      </c>
      <c r="B239" s="4" t="s">
        <v>21</v>
      </c>
      <c r="C239" s="4" t="s">
        <v>22</v>
      </c>
      <c r="D239" s="5">
        <v>46037.0</v>
      </c>
      <c r="E239" s="4" t="s">
        <v>271</v>
      </c>
      <c r="F239" s="4" t="s">
        <v>272</v>
      </c>
    </row>
    <row r="240" ht="15.75" customHeight="1">
      <c r="A240" s="4">
        <v>4.929883E7</v>
      </c>
      <c r="B240" s="4" t="s">
        <v>130</v>
      </c>
      <c r="C240" s="4" t="s">
        <v>131</v>
      </c>
      <c r="D240" s="5">
        <v>46053.0</v>
      </c>
      <c r="E240" s="4" t="s">
        <v>273</v>
      </c>
      <c r="F240" s="4" t="s">
        <v>272</v>
      </c>
    </row>
    <row r="241" ht="15.75" customHeight="1">
      <c r="A241" s="4">
        <v>4.9514956E7</v>
      </c>
      <c r="B241" s="4" t="s">
        <v>204</v>
      </c>
      <c r="C241" s="4" t="s">
        <v>205</v>
      </c>
      <c r="D241" s="5">
        <v>46057.0</v>
      </c>
      <c r="E241" s="4" t="s">
        <v>269</v>
      </c>
      <c r="F241" s="4" t="s">
        <v>270</v>
      </c>
    </row>
    <row r="242" ht="15.75" customHeight="1">
      <c r="A242" s="4">
        <v>4.9724524E7</v>
      </c>
      <c r="B242" s="4" t="s">
        <v>31</v>
      </c>
      <c r="C242" s="4" t="s">
        <v>32</v>
      </c>
      <c r="D242" s="5">
        <v>46057.0</v>
      </c>
      <c r="E242" s="4" t="s">
        <v>269</v>
      </c>
      <c r="F242" s="4" t="s">
        <v>270</v>
      </c>
    </row>
    <row r="243" ht="15.75" customHeight="1">
      <c r="A243" s="4">
        <v>4.8431517E7</v>
      </c>
      <c r="B243" s="4" t="s">
        <v>165</v>
      </c>
      <c r="C243" s="4" t="s">
        <v>166</v>
      </c>
      <c r="D243" s="5">
        <v>46024.0</v>
      </c>
      <c r="E243" s="4" t="s">
        <v>277</v>
      </c>
      <c r="F243" s="4" t="s">
        <v>272</v>
      </c>
    </row>
    <row r="244" ht="15.75" customHeight="1">
      <c r="A244" s="4">
        <v>4.8431655E7</v>
      </c>
      <c r="B244" s="4" t="s">
        <v>55</v>
      </c>
      <c r="C244" s="4" t="s">
        <v>56</v>
      </c>
      <c r="D244" s="5">
        <v>46023.0</v>
      </c>
      <c r="E244" s="4" t="s">
        <v>271</v>
      </c>
      <c r="F244" s="4" t="s">
        <v>272</v>
      </c>
    </row>
    <row r="245" ht="15.75" customHeight="1">
      <c r="A245" s="4">
        <v>4.930386E7</v>
      </c>
      <c r="B245" s="4" t="s">
        <v>206</v>
      </c>
      <c r="C245" s="4" t="s">
        <v>207</v>
      </c>
      <c r="D245" s="5">
        <v>46054.0</v>
      </c>
      <c r="E245" s="4" t="s">
        <v>274</v>
      </c>
      <c r="F245" s="4" t="s">
        <v>270</v>
      </c>
    </row>
    <row r="246" ht="15.75" customHeight="1">
      <c r="A246" s="4">
        <v>4.8665829E7</v>
      </c>
      <c r="B246" s="4" t="s">
        <v>152</v>
      </c>
      <c r="C246" s="4" t="s">
        <v>153</v>
      </c>
      <c r="D246" s="5">
        <v>46037.0</v>
      </c>
      <c r="E246" s="4" t="s">
        <v>271</v>
      </c>
      <c r="F246" s="4" t="s">
        <v>272</v>
      </c>
    </row>
    <row r="247" ht="15.75" customHeight="1">
      <c r="A247" s="4">
        <v>4.9888482E7</v>
      </c>
      <c r="B247" s="4" t="s">
        <v>39</v>
      </c>
      <c r="C247" s="4" t="s">
        <v>40</v>
      </c>
      <c r="D247" s="5">
        <v>46064.0</v>
      </c>
      <c r="E247" s="4" t="s">
        <v>269</v>
      </c>
      <c r="F247" s="4" t="s">
        <v>270</v>
      </c>
    </row>
    <row r="248" ht="15.75" customHeight="1">
      <c r="A248" s="4">
        <v>4.9395896E7</v>
      </c>
      <c r="B248" s="4" t="s">
        <v>124</v>
      </c>
      <c r="C248" s="4" t="s">
        <v>125</v>
      </c>
      <c r="D248" s="5">
        <v>46055.0</v>
      </c>
      <c r="E248" s="4" t="s">
        <v>276</v>
      </c>
      <c r="F248" s="4" t="s">
        <v>270</v>
      </c>
    </row>
    <row r="249" ht="15.75" customHeight="1">
      <c r="A249" s="4">
        <v>4.9303288E7</v>
      </c>
      <c r="B249" s="4" t="s">
        <v>102</v>
      </c>
      <c r="C249" s="4" t="s">
        <v>103</v>
      </c>
      <c r="D249" s="5">
        <v>46053.0</v>
      </c>
      <c r="E249" s="4" t="s">
        <v>273</v>
      </c>
      <c r="F249" s="4" t="s">
        <v>272</v>
      </c>
    </row>
    <row r="250" ht="15.75" customHeight="1">
      <c r="A250" s="4">
        <v>4.9512992E7</v>
      </c>
      <c r="B250" s="4" t="s">
        <v>171</v>
      </c>
      <c r="C250" s="4" t="s">
        <v>172</v>
      </c>
      <c r="D250" s="5">
        <v>46057.0</v>
      </c>
      <c r="E250" s="4" t="s">
        <v>269</v>
      </c>
      <c r="F250" s="4" t="s">
        <v>270</v>
      </c>
    </row>
    <row r="251" ht="15.75" customHeight="1">
      <c r="A251" s="4">
        <v>4.9249976E7</v>
      </c>
      <c r="B251" s="4" t="s">
        <v>63</v>
      </c>
      <c r="C251" s="4" t="s">
        <v>64</v>
      </c>
      <c r="D251" s="5">
        <v>46051.0</v>
      </c>
      <c r="E251" s="4" t="s">
        <v>271</v>
      </c>
      <c r="F251" s="4" t="s">
        <v>272</v>
      </c>
    </row>
    <row r="252" ht="15.75" customHeight="1">
      <c r="A252" s="4">
        <v>4.8431463E7</v>
      </c>
      <c r="B252" s="4" t="s">
        <v>55</v>
      </c>
      <c r="C252" s="4" t="s">
        <v>56</v>
      </c>
      <c r="D252" s="5">
        <v>46023.0</v>
      </c>
      <c r="E252" s="4" t="s">
        <v>271</v>
      </c>
      <c r="F252" s="4" t="s">
        <v>272</v>
      </c>
    </row>
    <row r="253" ht="15.75" customHeight="1">
      <c r="A253" s="4">
        <v>4.9394591E7</v>
      </c>
      <c r="B253" s="4" t="s">
        <v>208</v>
      </c>
      <c r="C253" s="4" t="s">
        <v>209</v>
      </c>
      <c r="D253" s="5">
        <v>46056.0</v>
      </c>
      <c r="E253" s="4" t="s">
        <v>275</v>
      </c>
      <c r="F253" s="4" t="s">
        <v>270</v>
      </c>
    </row>
    <row r="254" ht="15.75" customHeight="1">
      <c r="A254" s="4">
        <v>4.9397348E7</v>
      </c>
      <c r="B254" s="4" t="s">
        <v>9</v>
      </c>
      <c r="C254" s="4" t="s">
        <v>10</v>
      </c>
      <c r="D254" s="5">
        <v>46056.0</v>
      </c>
      <c r="E254" s="4" t="s">
        <v>275</v>
      </c>
      <c r="F254" s="4" t="s">
        <v>270</v>
      </c>
    </row>
    <row r="255" ht="15.75" customHeight="1">
      <c r="A255" s="4">
        <v>4.8412818E7</v>
      </c>
      <c r="B255" s="4" t="s">
        <v>210</v>
      </c>
      <c r="C255" s="4" t="s">
        <v>211</v>
      </c>
      <c r="D255" s="5">
        <v>46023.0</v>
      </c>
      <c r="E255" s="4" t="s">
        <v>271</v>
      </c>
      <c r="F255" s="4" t="s">
        <v>272</v>
      </c>
    </row>
    <row r="256" ht="15.75" customHeight="1">
      <c r="A256" s="4">
        <v>4.8601131E7</v>
      </c>
      <c r="B256" s="4" t="s">
        <v>202</v>
      </c>
      <c r="C256" s="4" t="s">
        <v>203</v>
      </c>
      <c r="D256" s="5">
        <v>46030.0</v>
      </c>
      <c r="E256" s="4" t="s">
        <v>271</v>
      </c>
      <c r="F256" s="4" t="s">
        <v>272</v>
      </c>
    </row>
    <row r="257" ht="15.75" customHeight="1">
      <c r="A257" s="4">
        <v>4.9303865E7</v>
      </c>
      <c r="B257" s="4" t="s">
        <v>43</v>
      </c>
      <c r="C257" s="4" t="s">
        <v>44</v>
      </c>
      <c r="D257" s="5">
        <v>46054.0</v>
      </c>
      <c r="E257" s="4" t="s">
        <v>274</v>
      </c>
      <c r="F257" s="4" t="s">
        <v>270</v>
      </c>
    </row>
    <row r="258" ht="15.75" customHeight="1">
      <c r="A258" s="4">
        <v>4.8615939E7</v>
      </c>
      <c r="B258" s="4" t="s">
        <v>94</v>
      </c>
      <c r="C258" s="4" t="s">
        <v>95</v>
      </c>
      <c r="D258" s="5">
        <v>46030.0</v>
      </c>
      <c r="E258" s="4" t="s">
        <v>271</v>
      </c>
      <c r="F258" s="4" t="s">
        <v>272</v>
      </c>
    </row>
    <row r="259" ht="15.75" customHeight="1">
      <c r="A259" s="4">
        <v>4.8412822E7</v>
      </c>
      <c r="B259" s="4" t="s">
        <v>212</v>
      </c>
      <c r="C259" s="4" t="s">
        <v>213</v>
      </c>
      <c r="D259" s="5">
        <v>46023.0</v>
      </c>
      <c r="E259" s="4" t="s">
        <v>271</v>
      </c>
      <c r="F259" s="4" t="s">
        <v>272</v>
      </c>
    </row>
    <row r="260" ht="15.75" customHeight="1">
      <c r="A260" s="4">
        <v>4.9297867E7</v>
      </c>
      <c r="B260" s="4" t="s">
        <v>57</v>
      </c>
      <c r="C260" s="4" t="s">
        <v>58</v>
      </c>
      <c r="D260" s="5">
        <v>46053.0</v>
      </c>
      <c r="E260" s="4" t="s">
        <v>273</v>
      </c>
      <c r="F260" s="4" t="s">
        <v>272</v>
      </c>
    </row>
    <row r="261" ht="15.75" customHeight="1">
      <c r="A261" s="4">
        <v>4.9843792E7</v>
      </c>
      <c r="B261" s="4" t="s">
        <v>214</v>
      </c>
      <c r="D261" s="5">
        <v>46062.0</v>
      </c>
      <c r="E261" s="4" t="s">
        <v>276</v>
      </c>
      <c r="F261" s="4" t="s">
        <v>270</v>
      </c>
    </row>
    <row r="262" ht="15.75" customHeight="1">
      <c r="A262" s="4">
        <v>4.8712952E7</v>
      </c>
      <c r="B262" s="4" t="s">
        <v>215</v>
      </c>
      <c r="C262" s="4" t="s">
        <v>216</v>
      </c>
      <c r="D262" s="5">
        <v>46038.0</v>
      </c>
      <c r="E262" s="4" t="s">
        <v>277</v>
      </c>
      <c r="F262" s="4" t="s">
        <v>272</v>
      </c>
    </row>
    <row r="263" ht="15.75" customHeight="1">
      <c r="A263" s="4">
        <v>4.8736072E7</v>
      </c>
      <c r="B263" s="4" t="s">
        <v>169</v>
      </c>
      <c r="C263" s="4" t="s">
        <v>170</v>
      </c>
      <c r="D263" s="5">
        <v>46043.0</v>
      </c>
      <c r="E263" s="4" t="s">
        <v>269</v>
      </c>
      <c r="F263" s="4" t="s">
        <v>272</v>
      </c>
    </row>
    <row r="264" ht="15.75" customHeight="1">
      <c r="A264" s="4">
        <v>4.9030077E7</v>
      </c>
      <c r="B264" s="4" t="s">
        <v>39</v>
      </c>
      <c r="C264" s="4" t="s">
        <v>40</v>
      </c>
      <c r="D264" s="5">
        <v>46044.0</v>
      </c>
      <c r="E264" s="4" t="s">
        <v>271</v>
      </c>
      <c r="F264" s="4" t="s">
        <v>272</v>
      </c>
    </row>
    <row r="265" ht="15.75" customHeight="1">
      <c r="A265" s="4">
        <v>4.930416E7</v>
      </c>
      <c r="B265" s="4" t="s">
        <v>98</v>
      </c>
      <c r="C265" s="4" t="s">
        <v>99</v>
      </c>
      <c r="D265" s="5">
        <v>46054.0</v>
      </c>
      <c r="E265" s="4" t="s">
        <v>274</v>
      </c>
      <c r="F265" s="4" t="s">
        <v>270</v>
      </c>
    </row>
    <row r="266" ht="15.75" customHeight="1">
      <c r="A266" s="4">
        <v>4.9298511E7</v>
      </c>
      <c r="B266" s="4" t="s">
        <v>7</v>
      </c>
      <c r="C266" s="4" t="s">
        <v>8</v>
      </c>
      <c r="D266" s="5">
        <v>46053.0</v>
      </c>
      <c r="E266" s="4" t="s">
        <v>273</v>
      </c>
      <c r="F266" s="4" t="s">
        <v>272</v>
      </c>
    </row>
    <row r="267" ht="15.75" customHeight="1">
      <c r="A267" s="4">
        <v>4.9245962E7</v>
      </c>
      <c r="B267" s="4" t="s">
        <v>134</v>
      </c>
      <c r="C267" s="4" t="s">
        <v>135</v>
      </c>
      <c r="D267" s="5">
        <v>46052.0</v>
      </c>
      <c r="E267" s="4" t="s">
        <v>277</v>
      </c>
      <c r="F267" s="4" t="s">
        <v>272</v>
      </c>
    </row>
    <row r="268" ht="15.75" customHeight="1">
      <c r="A268" s="4">
        <v>4.9395892E7</v>
      </c>
      <c r="B268" s="4" t="s">
        <v>158</v>
      </c>
      <c r="C268" s="4" t="s">
        <v>159</v>
      </c>
      <c r="D268" s="5">
        <v>46054.0</v>
      </c>
      <c r="E268" s="4" t="s">
        <v>274</v>
      </c>
      <c r="F268" s="4" t="s">
        <v>270</v>
      </c>
    </row>
    <row r="269" ht="15.75" customHeight="1">
      <c r="A269" s="4">
        <v>4.8615951E7</v>
      </c>
      <c r="B269" s="4" t="s">
        <v>37</v>
      </c>
      <c r="C269" s="4" t="s">
        <v>38</v>
      </c>
      <c r="D269" s="5">
        <v>46030.0</v>
      </c>
      <c r="E269" s="4" t="s">
        <v>271</v>
      </c>
      <c r="F269" s="4" t="s">
        <v>272</v>
      </c>
    </row>
    <row r="270" ht="15.75" customHeight="1">
      <c r="A270" s="4">
        <v>4.8591656E7</v>
      </c>
      <c r="B270" s="4" t="s">
        <v>217</v>
      </c>
      <c r="D270" s="5">
        <v>46023.0</v>
      </c>
      <c r="E270" s="4" t="s">
        <v>271</v>
      </c>
      <c r="F270" s="4" t="s">
        <v>272</v>
      </c>
    </row>
    <row r="271" ht="15.75" customHeight="1">
      <c r="A271" s="4">
        <v>4.9961922E7</v>
      </c>
      <c r="B271" s="4" t="s">
        <v>134</v>
      </c>
      <c r="C271" s="4" t="s">
        <v>135</v>
      </c>
      <c r="D271" s="5">
        <v>46065.0</v>
      </c>
      <c r="E271" s="4" t="s">
        <v>271</v>
      </c>
      <c r="F271" s="4" t="s">
        <v>270</v>
      </c>
    </row>
    <row r="272" ht="15.75" customHeight="1">
      <c r="A272" s="4">
        <v>4.9303226E7</v>
      </c>
      <c r="B272" s="4" t="s">
        <v>218</v>
      </c>
      <c r="C272" s="4" t="s">
        <v>219</v>
      </c>
      <c r="D272" s="5">
        <v>46053.0</v>
      </c>
      <c r="E272" s="4" t="s">
        <v>273</v>
      </c>
      <c r="F272" s="4" t="s">
        <v>272</v>
      </c>
    </row>
    <row r="273" ht="15.75" customHeight="1">
      <c r="A273" s="4">
        <v>4.8412825E7</v>
      </c>
      <c r="B273" s="4" t="s">
        <v>220</v>
      </c>
      <c r="C273" s="4" t="s">
        <v>221</v>
      </c>
      <c r="D273" s="5">
        <v>46023.0</v>
      </c>
      <c r="E273" s="4" t="s">
        <v>271</v>
      </c>
      <c r="F273" s="4" t="s">
        <v>272</v>
      </c>
    </row>
    <row r="274" ht="15.75" customHeight="1">
      <c r="A274" s="4">
        <v>4.9395887E7</v>
      </c>
      <c r="B274" s="4" t="s">
        <v>39</v>
      </c>
      <c r="C274" s="4" t="s">
        <v>40</v>
      </c>
      <c r="D274" s="5">
        <v>46054.0</v>
      </c>
      <c r="E274" s="4" t="s">
        <v>274</v>
      </c>
      <c r="F274" s="4" t="s">
        <v>270</v>
      </c>
    </row>
    <row r="275" ht="15.75" customHeight="1">
      <c r="A275" s="4">
        <v>4.9962498E7</v>
      </c>
      <c r="B275" s="4" t="s">
        <v>81</v>
      </c>
      <c r="C275" s="4" t="s">
        <v>82</v>
      </c>
      <c r="D275" s="5">
        <v>46065.0</v>
      </c>
      <c r="E275" s="4" t="s">
        <v>271</v>
      </c>
      <c r="F275" s="4" t="s">
        <v>270</v>
      </c>
    </row>
    <row r="276" ht="15.75" customHeight="1">
      <c r="A276" s="4">
        <v>4.9512905E7</v>
      </c>
      <c r="B276" s="4" t="s">
        <v>9</v>
      </c>
      <c r="C276" s="4" t="s">
        <v>10</v>
      </c>
      <c r="D276" s="5">
        <v>46057.0</v>
      </c>
      <c r="E276" s="4" t="s">
        <v>269</v>
      </c>
      <c r="F276" s="4" t="s">
        <v>270</v>
      </c>
    </row>
    <row r="277" ht="15.75" customHeight="1">
      <c r="A277" s="4">
        <v>4.9518272E7</v>
      </c>
      <c r="B277" s="4" t="s">
        <v>75</v>
      </c>
      <c r="C277" s="4" t="s">
        <v>76</v>
      </c>
      <c r="D277" s="5">
        <v>46050.0</v>
      </c>
      <c r="E277" s="4" t="s">
        <v>269</v>
      </c>
      <c r="F277" s="4" t="s">
        <v>272</v>
      </c>
    </row>
    <row r="278" ht="15.75" customHeight="1">
      <c r="A278" s="4">
        <v>4.9512178E7</v>
      </c>
      <c r="B278" s="4" t="s">
        <v>79</v>
      </c>
      <c r="C278" s="4" t="s">
        <v>80</v>
      </c>
      <c r="D278" s="5">
        <v>46057.0</v>
      </c>
      <c r="E278" s="4" t="s">
        <v>269</v>
      </c>
      <c r="F278" s="4" t="s">
        <v>270</v>
      </c>
    </row>
    <row r="279" ht="15.75" customHeight="1">
      <c r="A279" s="4">
        <v>4.9323238E7</v>
      </c>
      <c r="B279" s="4" t="s">
        <v>73</v>
      </c>
      <c r="C279" s="4" t="s">
        <v>74</v>
      </c>
      <c r="D279" s="5">
        <v>46054.0</v>
      </c>
      <c r="E279" s="4" t="s">
        <v>274</v>
      </c>
      <c r="F279" s="4" t="s">
        <v>270</v>
      </c>
    </row>
    <row r="280" ht="15.75" customHeight="1">
      <c r="A280" s="4">
        <v>4.865354E7</v>
      </c>
      <c r="B280" s="4" t="s">
        <v>222</v>
      </c>
      <c r="C280" s="4" t="s">
        <v>223</v>
      </c>
      <c r="D280" s="5">
        <v>46036.0</v>
      </c>
      <c r="E280" s="4" t="s">
        <v>269</v>
      </c>
      <c r="F280" s="4" t="s">
        <v>272</v>
      </c>
    </row>
    <row r="281" ht="15.75" customHeight="1">
      <c r="A281" s="4">
        <v>4.8915866E7</v>
      </c>
      <c r="B281" s="4" t="s">
        <v>39</v>
      </c>
      <c r="C281" s="4" t="s">
        <v>40</v>
      </c>
      <c r="D281" s="5">
        <v>46048.0</v>
      </c>
      <c r="E281" s="4" t="s">
        <v>276</v>
      </c>
      <c r="F281" s="4" t="s">
        <v>272</v>
      </c>
    </row>
    <row r="282" ht="15.75" customHeight="1">
      <c r="A282" s="4">
        <v>4.9671944E7</v>
      </c>
      <c r="B282" s="4" t="s">
        <v>47</v>
      </c>
      <c r="C282" s="4" t="s">
        <v>48</v>
      </c>
      <c r="D282" s="5">
        <v>46062.0</v>
      </c>
      <c r="E282" s="4" t="s">
        <v>276</v>
      </c>
      <c r="F282" s="4" t="s">
        <v>270</v>
      </c>
    </row>
    <row r="283" ht="15.75" customHeight="1">
      <c r="A283" s="4">
        <v>4.8412821E7</v>
      </c>
      <c r="B283" s="4" t="s">
        <v>224</v>
      </c>
      <c r="C283" s="4" t="s">
        <v>225</v>
      </c>
      <c r="D283" s="5">
        <v>46023.0</v>
      </c>
      <c r="E283" s="4" t="s">
        <v>271</v>
      </c>
      <c r="F283" s="4" t="s">
        <v>272</v>
      </c>
    </row>
    <row r="284" ht="15.75" customHeight="1">
      <c r="A284" s="4">
        <v>5.0032453E7</v>
      </c>
      <c r="B284" s="4" t="s">
        <v>43</v>
      </c>
      <c r="C284" s="4" t="s">
        <v>44</v>
      </c>
      <c r="D284" s="5">
        <v>46068.0</v>
      </c>
      <c r="E284" s="4" t="s">
        <v>274</v>
      </c>
      <c r="F284" s="4" t="s">
        <v>270</v>
      </c>
    </row>
    <row r="285" ht="15.75" customHeight="1">
      <c r="A285" s="4">
        <v>4.8902685E7</v>
      </c>
      <c r="B285" s="4" t="s">
        <v>226</v>
      </c>
      <c r="C285" s="4" t="s">
        <v>227</v>
      </c>
      <c r="D285" s="5">
        <v>46047.0</v>
      </c>
      <c r="E285" s="4" t="s">
        <v>274</v>
      </c>
      <c r="F285" s="4" t="s">
        <v>272</v>
      </c>
    </row>
    <row r="286" ht="15.75" customHeight="1">
      <c r="A286" s="4">
        <v>4.9620067E7</v>
      </c>
      <c r="B286" s="4" t="s">
        <v>21</v>
      </c>
      <c r="C286" s="4" t="s">
        <v>22</v>
      </c>
      <c r="D286" s="5">
        <v>46059.0</v>
      </c>
      <c r="E286" s="4" t="s">
        <v>277</v>
      </c>
      <c r="F286" s="4" t="s">
        <v>270</v>
      </c>
    </row>
    <row r="287" ht="15.75" customHeight="1">
      <c r="A287" s="4">
        <v>4.8601128E7</v>
      </c>
      <c r="B287" s="4" t="s">
        <v>228</v>
      </c>
      <c r="C287" s="4" t="s">
        <v>229</v>
      </c>
      <c r="D287" s="5">
        <v>46030.0</v>
      </c>
      <c r="E287" s="4" t="s">
        <v>271</v>
      </c>
      <c r="F287" s="4" t="s">
        <v>272</v>
      </c>
    </row>
    <row r="288" ht="15.75" customHeight="1">
      <c r="A288" s="4">
        <v>5.0031382E7</v>
      </c>
      <c r="B288" s="4" t="s">
        <v>177</v>
      </c>
      <c r="C288" s="4" t="s">
        <v>178</v>
      </c>
      <c r="D288" s="5">
        <v>46067.0</v>
      </c>
      <c r="E288" s="4" t="s">
        <v>273</v>
      </c>
      <c r="F288" s="4" t="s">
        <v>270</v>
      </c>
    </row>
    <row r="289" ht="15.75" customHeight="1">
      <c r="A289" s="4">
        <v>4.9724513E7</v>
      </c>
      <c r="B289" s="4" t="s">
        <v>188</v>
      </c>
      <c r="C289" s="4" t="s">
        <v>189</v>
      </c>
      <c r="D289" s="5">
        <v>46056.0</v>
      </c>
      <c r="E289" s="4" t="s">
        <v>275</v>
      </c>
      <c r="F289" s="4" t="s">
        <v>270</v>
      </c>
    </row>
    <row r="290" ht="15.75" customHeight="1">
      <c r="A290" s="4">
        <v>4.9889531E7</v>
      </c>
      <c r="B290" s="4" t="s">
        <v>171</v>
      </c>
      <c r="C290" s="4" t="s">
        <v>172</v>
      </c>
      <c r="D290" s="5">
        <v>46064.0</v>
      </c>
      <c r="E290" s="4" t="s">
        <v>269</v>
      </c>
      <c r="F290" s="4" t="s">
        <v>270</v>
      </c>
    </row>
    <row r="291" ht="15.75" customHeight="1">
      <c r="A291" s="4">
        <v>5.0079029E7</v>
      </c>
      <c r="B291" s="4" t="s">
        <v>230</v>
      </c>
      <c r="D291" s="5">
        <v>46069.0</v>
      </c>
      <c r="E291" s="4" t="s">
        <v>276</v>
      </c>
      <c r="F291" s="4" t="s">
        <v>270</v>
      </c>
    </row>
    <row r="292" ht="15.75" customHeight="1">
      <c r="A292" s="4">
        <v>4.8435988E7</v>
      </c>
      <c r="B292" s="4" t="s">
        <v>231</v>
      </c>
      <c r="C292" s="4" t="s">
        <v>232</v>
      </c>
      <c r="D292" s="5">
        <v>46025.0</v>
      </c>
      <c r="E292" s="4" t="s">
        <v>273</v>
      </c>
      <c r="F292" s="4" t="s">
        <v>272</v>
      </c>
    </row>
    <row r="293" ht="15.75" customHeight="1">
      <c r="A293" s="4">
        <v>4.8912686E7</v>
      </c>
      <c r="B293" s="4" t="s">
        <v>184</v>
      </c>
      <c r="C293" s="4" t="s">
        <v>185</v>
      </c>
      <c r="D293" s="5">
        <v>46048.0</v>
      </c>
      <c r="E293" s="4" t="s">
        <v>276</v>
      </c>
      <c r="F293" s="4" t="s">
        <v>272</v>
      </c>
    </row>
    <row r="294" ht="15.75" customHeight="1">
      <c r="A294" s="4">
        <v>5.0032108E7</v>
      </c>
      <c r="B294" s="4" t="s">
        <v>9</v>
      </c>
      <c r="C294" s="4" t="s">
        <v>10</v>
      </c>
      <c r="D294" s="5">
        <v>46068.0</v>
      </c>
      <c r="E294" s="4" t="s">
        <v>274</v>
      </c>
      <c r="F294" s="4" t="s">
        <v>270</v>
      </c>
    </row>
    <row r="295" ht="15.75" customHeight="1">
      <c r="A295" s="4">
        <v>4.8599964E7</v>
      </c>
      <c r="B295" s="4" t="s">
        <v>130</v>
      </c>
      <c r="C295" s="4" t="s">
        <v>131</v>
      </c>
      <c r="D295" s="5">
        <v>46030.0</v>
      </c>
      <c r="E295" s="4" t="s">
        <v>271</v>
      </c>
      <c r="F295" s="4" t="s">
        <v>272</v>
      </c>
    </row>
    <row r="296" ht="15.75" customHeight="1">
      <c r="A296" s="4">
        <v>4.8712835E7</v>
      </c>
      <c r="B296" s="4" t="s">
        <v>233</v>
      </c>
      <c r="D296" s="5">
        <v>46038.0</v>
      </c>
      <c r="E296" s="4" t="s">
        <v>277</v>
      </c>
      <c r="F296" s="4" t="s">
        <v>272</v>
      </c>
    </row>
    <row r="297" ht="15.75" customHeight="1">
      <c r="A297" s="4">
        <v>4.9303989E7</v>
      </c>
      <c r="B297" s="4" t="s">
        <v>142</v>
      </c>
      <c r="C297" s="4" t="s">
        <v>143</v>
      </c>
      <c r="D297" s="5">
        <v>46054.0</v>
      </c>
      <c r="E297" s="4" t="s">
        <v>274</v>
      </c>
      <c r="F297" s="4" t="s">
        <v>270</v>
      </c>
    </row>
    <row r="298" ht="15.75" customHeight="1">
      <c r="A298" s="4">
        <v>4.9512913E7</v>
      </c>
      <c r="B298" s="4" t="s">
        <v>83</v>
      </c>
      <c r="C298" s="4" t="s">
        <v>84</v>
      </c>
      <c r="D298" s="5">
        <v>46057.0</v>
      </c>
      <c r="E298" s="4" t="s">
        <v>269</v>
      </c>
      <c r="F298" s="4" t="s">
        <v>270</v>
      </c>
    </row>
    <row r="299" ht="15.75" customHeight="1">
      <c r="A299" s="4">
        <v>5.0355879E7</v>
      </c>
      <c r="B299" s="4" t="s">
        <v>57</v>
      </c>
      <c r="C299" s="4" t="s">
        <v>58</v>
      </c>
      <c r="D299" s="5">
        <v>46077.0</v>
      </c>
      <c r="E299" s="4" t="s">
        <v>275</v>
      </c>
      <c r="F299" s="4" t="s">
        <v>270</v>
      </c>
    </row>
    <row r="300" ht="15.75" customHeight="1">
      <c r="A300" s="4">
        <v>4.860112E7</v>
      </c>
      <c r="B300" s="4" t="s">
        <v>234</v>
      </c>
      <c r="C300" s="4" t="s">
        <v>235</v>
      </c>
      <c r="D300" s="5">
        <v>46030.0</v>
      </c>
      <c r="E300" s="4" t="s">
        <v>271</v>
      </c>
      <c r="F300" s="4" t="s">
        <v>272</v>
      </c>
    </row>
    <row r="301" ht="15.75" customHeight="1">
      <c r="A301" s="4">
        <v>4.8667269E7</v>
      </c>
      <c r="B301" s="4" t="s">
        <v>79</v>
      </c>
      <c r="C301" s="4" t="s">
        <v>80</v>
      </c>
      <c r="D301" s="5">
        <v>46037.0</v>
      </c>
      <c r="E301" s="4" t="s">
        <v>271</v>
      </c>
      <c r="F301" s="4" t="s">
        <v>272</v>
      </c>
    </row>
    <row r="302" ht="15.75" customHeight="1">
      <c r="A302" s="4">
        <v>4.8601126E7</v>
      </c>
      <c r="B302" s="4" t="s">
        <v>167</v>
      </c>
      <c r="C302" s="4" t="s">
        <v>168</v>
      </c>
      <c r="D302" s="5">
        <v>46030.0</v>
      </c>
      <c r="E302" s="4" t="s">
        <v>271</v>
      </c>
      <c r="F302" s="4" t="s">
        <v>272</v>
      </c>
    </row>
    <row r="303" ht="15.75" customHeight="1">
      <c r="A303" s="4">
        <v>4.996248E7</v>
      </c>
      <c r="B303" s="4" t="s">
        <v>73</v>
      </c>
      <c r="C303" s="4" t="s">
        <v>74</v>
      </c>
      <c r="D303" s="5">
        <v>46065.0</v>
      </c>
      <c r="E303" s="4" t="s">
        <v>271</v>
      </c>
      <c r="F303" s="4" t="s">
        <v>270</v>
      </c>
    </row>
    <row r="304" ht="15.75" customHeight="1">
      <c r="A304" s="4">
        <v>4.9671645E7</v>
      </c>
      <c r="B304" s="4" t="s">
        <v>73</v>
      </c>
      <c r="C304" s="4" t="s">
        <v>74</v>
      </c>
      <c r="D304" s="5">
        <v>46062.0</v>
      </c>
      <c r="E304" s="4" t="s">
        <v>276</v>
      </c>
      <c r="F304" s="4" t="s">
        <v>270</v>
      </c>
    </row>
    <row r="305" ht="15.75" customHeight="1">
      <c r="A305" s="4">
        <v>4.8431155E7</v>
      </c>
      <c r="B305" s="4" t="s">
        <v>55</v>
      </c>
      <c r="C305" s="4" t="s">
        <v>56</v>
      </c>
      <c r="D305" s="5">
        <v>46023.0</v>
      </c>
      <c r="E305" s="4" t="s">
        <v>271</v>
      </c>
      <c r="F305" s="4" t="s">
        <v>272</v>
      </c>
    </row>
    <row r="306" ht="15.75" customHeight="1">
      <c r="A306" s="4">
        <v>4.9303286E7</v>
      </c>
      <c r="B306" s="4" t="s">
        <v>236</v>
      </c>
      <c r="C306" s="4" t="s">
        <v>237</v>
      </c>
      <c r="D306" s="5">
        <v>46053.0</v>
      </c>
      <c r="E306" s="4" t="s">
        <v>273</v>
      </c>
      <c r="F306" s="4" t="s">
        <v>272</v>
      </c>
    </row>
    <row r="307" ht="15.75" customHeight="1">
      <c r="A307" s="4">
        <v>4.9303283E7</v>
      </c>
      <c r="B307" s="4" t="s">
        <v>79</v>
      </c>
      <c r="C307" s="4" t="s">
        <v>80</v>
      </c>
      <c r="D307" s="5">
        <v>46053.0</v>
      </c>
      <c r="E307" s="4" t="s">
        <v>273</v>
      </c>
      <c r="F307" s="4" t="s">
        <v>272</v>
      </c>
    </row>
    <row r="308" ht="15.75" customHeight="1">
      <c r="A308" s="4">
        <v>4.8789129E7</v>
      </c>
      <c r="B308" s="4" t="s">
        <v>25</v>
      </c>
      <c r="C308" s="4" t="s">
        <v>26</v>
      </c>
      <c r="D308" s="5">
        <v>46046.0</v>
      </c>
      <c r="E308" s="4" t="s">
        <v>273</v>
      </c>
      <c r="F308" s="4" t="s">
        <v>272</v>
      </c>
    </row>
    <row r="309" ht="15.75" customHeight="1">
      <c r="A309" s="4">
        <v>4.930329E7</v>
      </c>
      <c r="B309" s="4" t="s">
        <v>124</v>
      </c>
      <c r="C309" s="4" t="s">
        <v>125</v>
      </c>
      <c r="D309" s="5">
        <v>46053.0</v>
      </c>
      <c r="E309" s="4" t="s">
        <v>273</v>
      </c>
      <c r="F309" s="4" t="s">
        <v>272</v>
      </c>
    </row>
    <row r="310" ht="15.75" customHeight="1">
      <c r="A310" s="4">
        <v>4.8713084E7</v>
      </c>
      <c r="B310" s="4" t="s">
        <v>165</v>
      </c>
      <c r="C310" s="4" t="s">
        <v>166</v>
      </c>
      <c r="D310" s="5">
        <v>46041.0</v>
      </c>
      <c r="E310" s="4" t="s">
        <v>276</v>
      </c>
      <c r="F310" s="4" t="s">
        <v>272</v>
      </c>
    </row>
    <row r="311" ht="15.75" customHeight="1">
      <c r="A311" s="4">
        <v>4.9514957E7</v>
      </c>
      <c r="B311" s="4" t="s">
        <v>27</v>
      </c>
      <c r="C311" s="4" t="s">
        <v>28</v>
      </c>
      <c r="D311" s="5">
        <v>46057.0</v>
      </c>
      <c r="E311" s="4" t="s">
        <v>269</v>
      </c>
      <c r="F311" s="4" t="s">
        <v>270</v>
      </c>
    </row>
    <row r="312" ht="15.75" customHeight="1">
      <c r="A312" s="4">
        <v>5.0023794E7</v>
      </c>
      <c r="B312" s="4" t="s">
        <v>238</v>
      </c>
      <c r="C312" s="4" t="s">
        <v>239</v>
      </c>
      <c r="D312" s="5">
        <v>46066.0</v>
      </c>
      <c r="E312" s="4" t="s">
        <v>277</v>
      </c>
      <c r="F312" s="4" t="s">
        <v>270</v>
      </c>
    </row>
    <row r="313" ht="15.75" customHeight="1">
      <c r="A313" s="4">
        <v>4.929881E7</v>
      </c>
      <c r="B313" s="4" t="s">
        <v>37</v>
      </c>
      <c r="C313" s="4" t="s">
        <v>38</v>
      </c>
      <c r="D313" s="5">
        <v>46053.0</v>
      </c>
      <c r="E313" s="4" t="s">
        <v>273</v>
      </c>
      <c r="F313" s="4" t="s">
        <v>272</v>
      </c>
    </row>
    <row r="314" ht="15.75" customHeight="1">
      <c r="A314" s="4">
        <v>4.9303285E7</v>
      </c>
      <c r="B314" s="4" t="s">
        <v>39</v>
      </c>
      <c r="C314" s="4" t="s">
        <v>40</v>
      </c>
      <c r="D314" s="5">
        <v>46053.0</v>
      </c>
      <c r="E314" s="4" t="s">
        <v>273</v>
      </c>
      <c r="F314" s="4" t="s">
        <v>272</v>
      </c>
    </row>
    <row r="315" ht="15.75" customHeight="1">
      <c r="A315" s="4">
        <v>4.9620074E7</v>
      </c>
      <c r="B315" s="4" t="s">
        <v>79</v>
      </c>
      <c r="C315" s="4" t="s">
        <v>80</v>
      </c>
      <c r="D315" s="5">
        <v>46059.0</v>
      </c>
      <c r="E315" s="4" t="s">
        <v>277</v>
      </c>
      <c r="F315" s="4" t="s">
        <v>270</v>
      </c>
    </row>
    <row r="316" ht="15.75" customHeight="1">
      <c r="A316" s="4">
        <v>4.932324E7</v>
      </c>
      <c r="B316" s="4" t="s">
        <v>7</v>
      </c>
      <c r="C316" s="4" t="s">
        <v>8</v>
      </c>
      <c r="D316" s="5">
        <v>46054.0</v>
      </c>
      <c r="E316" s="4" t="s">
        <v>274</v>
      </c>
      <c r="F316" s="4" t="s">
        <v>270</v>
      </c>
    </row>
    <row r="317" ht="15.75" customHeight="1">
      <c r="A317" s="4">
        <v>4.8995013E7</v>
      </c>
      <c r="B317" s="4" t="s">
        <v>130</v>
      </c>
      <c r="C317" s="4" t="s">
        <v>131</v>
      </c>
      <c r="D317" s="5">
        <v>46045.0</v>
      </c>
      <c r="E317" s="4" t="s">
        <v>277</v>
      </c>
      <c r="F317" s="4" t="s">
        <v>272</v>
      </c>
    </row>
    <row r="318" ht="15.75" customHeight="1">
      <c r="A318" s="4">
        <v>4.9620072E7</v>
      </c>
      <c r="B318" s="4" t="s">
        <v>7</v>
      </c>
      <c r="C318" s="4" t="s">
        <v>8</v>
      </c>
      <c r="D318" s="5">
        <v>46059.0</v>
      </c>
      <c r="E318" s="4" t="s">
        <v>277</v>
      </c>
      <c r="F318" s="4" t="s">
        <v>270</v>
      </c>
    </row>
    <row r="319" ht="15.75" customHeight="1">
      <c r="A319" s="4">
        <v>4.9298816E7</v>
      </c>
      <c r="B319" s="4" t="s">
        <v>73</v>
      </c>
      <c r="C319" s="4" t="s">
        <v>74</v>
      </c>
      <c r="D319" s="5">
        <v>46053.0</v>
      </c>
      <c r="E319" s="4" t="s">
        <v>273</v>
      </c>
      <c r="F319" s="4" t="s">
        <v>272</v>
      </c>
    </row>
    <row r="320" ht="15.75" customHeight="1">
      <c r="A320" s="4">
        <v>4.9642037E7</v>
      </c>
      <c r="B320" s="4" t="s">
        <v>240</v>
      </c>
      <c r="C320" s="4" t="s">
        <v>241</v>
      </c>
      <c r="D320" s="5">
        <v>46053.0</v>
      </c>
      <c r="E320" s="4" t="s">
        <v>273</v>
      </c>
      <c r="F320" s="4" t="s">
        <v>272</v>
      </c>
    </row>
    <row r="321" ht="15.75" customHeight="1">
      <c r="A321" s="4">
        <v>4.9512909E7</v>
      </c>
      <c r="B321" s="4" t="s">
        <v>242</v>
      </c>
      <c r="C321" s="4" t="s">
        <v>243</v>
      </c>
      <c r="D321" s="5">
        <v>46057.0</v>
      </c>
      <c r="E321" s="4" t="s">
        <v>269</v>
      </c>
      <c r="F321" s="4" t="s">
        <v>270</v>
      </c>
    </row>
    <row r="322" ht="15.75" customHeight="1">
      <c r="A322" s="4">
        <v>4.9513293E7</v>
      </c>
      <c r="B322" s="4" t="s">
        <v>169</v>
      </c>
      <c r="C322" s="4" t="s">
        <v>170</v>
      </c>
      <c r="D322" s="5">
        <v>46057.0</v>
      </c>
      <c r="E322" s="4" t="s">
        <v>269</v>
      </c>
      <c r="F322" s="4" t="s">
        <v>270</v>
      </c>
    </row>
    <row r="323" ht="15.75" customHeight="1">
      <c r="A323" s="4">
        <v>4.9303953E7</v>
      </c>
      <c r="B323" s="4" t="s">
        <v>31</v>
      </c>
      <c r="C323" s="4" t="s">
        <v>32</v>
      </c>
      <c r="D323" s="5">
        <v>46054.0</v>
      </c>
      <c r="E323" s="4" t="s">
        <v>274</v>
      </c>
      <c r="F323" s="4" t="s">
        <v>270</v>
      </c>
    </row>
    <row r="324" ht="15.75" customHeight="1">
      <c r="A324" s="4">
        <v>5.0023786E7</v>
      </c>
      <c r="B324" s="4" t="s">
        <v>43</v>
      </c>
      <c r="C324" s="4" t="s">
        <v>44</v>
      </c>
      <c r="D324" s="5">
        <v>46066.0</v>
      </c>
      <c r="E324" s="4" t="s">
        <v>277</v>
      </c>
      <c r="F324" s="4" t="s">
        <v>270</v>
      </c>
    </row>
    <row r="325" ht="15.75" customHeight="1">
      <c r="A325" s="4">
        <v>4.9733082E7</v>
      </c>
      <c r="B325" s="4" t="s">
        <v>19</v>
      </c>
      <c r="C325" s="4" t="s">
        <v>20</v>
      </c>
      <c r="D325" s="5">
        <v>46062.0</v>
      </c>
      <c r="E325" s="4" t="s">
        <v>276</v>
      </c>
      <c r="F325" s="4" t="s">
        <v>270</v>
      </c>
    </row>
    <row r="326" ht="15.75" customHeight="1">
      <c r="A326" s="4">
        <v>4.9889539E7</v>
      </c>
      <c r="B326" s="4" t="s">
        <v>110</v>
      </c>
      <c r="C326" s="4" t="s">
        <v>111</v>
      </c>
      <c r="D326" s="5">
        <v>46064.0</v>
      </c>
      <c r="E326" s="4" t="s">
        <v>269</v>
      </c>
      <c r="F326" s="4" t="s">
        <v>270</v>
      </c>
    </row>
    <row r="327" ht="15.75" customHeight="1">
      <c r="A327" s="4">
        <v>4.930415E7</v>
      </c>
      <c r="B327" s="4" t="s">
        <v>43</v>
      </c>
      <c r="C327" s="4" t="s">
        <v>44</v>
      </c>
      <c r="D327" s="5">
        <v>46054.0</v>
      </c>
      <c r="E327" s="4" t="s">
        <v>274</v>
      </c>
      <c r="F327" s="4" t="s">
        <v>270</v>
      </c>
    </row>
    <row r="328" ht="15.75" customHeight="1">
      <c r="A328" s="4">
        <v>4.8742841E7</v>
      </c>
      <c r="B328" s="4" t="s">
        <v>9</v>
      </c>
      <c r="C328" s="4" t="s">
        <v>10</v>
      </c>
      <c r="D328" s="5">
        <v>46043.0</v>
      </c>
      <c r="E328" s="4" t="s">
        <v>269</v>
      </c>
      <c r="F328" s="4" t="s">
        <v>272</v>
      </c>
    </row>
    <row r="329" ht="15.75" customHeight="1">
      <c r="A329" s="4">
        <v>4.9888484E7</v>
      </c>
      <c r="B329" s="4" t="s">
        <v>67</v>
      </c>
      <c r="C329" s="4" t="s">
        <v>68</v>
      </c>
      <c r="D329" s="5">
        <v>46064.0</v>
      </c>
      <c r="E329" s="4" t="s">
        <v>269</v>
      </c>
      <c r="F329" s="4" t="s">
        <v>270</v>
      </c>
    </row>
    <row r="330" ht="15.75" customHeight="1">
      <c r="A330" s="4">
        <v>4.846503E7</v>
      </c>
      <c r="B330" s="4" t="s">
        <v>244</v>
      </c>
      <c r="C330" s="4" t="s">
        <v>245</v>
      </c>
      <c r="D330" s="5">
        <v>46026.0</v>
      </c>
      <c r="E330" s="4" t="s">
        <v>274</v>
      </c>
      <c r="F330" s="4" t="s">
        <v>272</v>
      </c>
    </row>
    <row r="331" ht="15.75" customHeight="1">
      <c r="A331" s="4">
        <v>4.9303287E7</v>
      </c>
      <c r="B331" s="4" t="s">
        <v>246</v>
      </c>
      <c r="C331" s="4" t="s">
        <v>247</v>
      </c>
      <c r="D331" s="5">
        <v>46053.0</v>
      </c>
      <c r="E331" s="4" t="s">
        <v>273</v>
      </c>
      <c r="F331" s="4" t="s">
        <v>272</v>
      </c>
    </row>
    <row r="332" ht="15.75" customHeight="1">
      <c r="A332" s="4">
        <v>4.8675302E7</v>
      </c>
      <c r="B332" s="4" t="s">
        <v>39</v>
      </c>
      <c r="C332" s="4" t="s">
        <v>40</v>
      </c>
      <c r="D332" s="5">
        <v>46038.0</v>
      </c>
      <c r="E332" s="4" t="s">
        <v>277</v>
      </c>
      <c r="F332" s="4" t="s">
        <v>272</v>
      </c>
    </row>
    <row r="333" ht="15.75" customHeight="1">
      <c r="A333" s="4">
        <v>4.9888487E7</v>
      </c>
      <c r="B333" s="4" t="s">
        <v>83</v>
      </c>
      <c r="C333" s="4" t="s">
        <v>84</v>
      </c>
      <c r="D333" s="5">
        <v>46064.0</v>
      </c>
      <c r="E333" s="4" t="s">
        <v>269</v>
      </c>
      <c r="F333" s="4" t="s">
        <v>270</v>
      </c>
    </row>
    <row r="334" ht="15.75" customHeight="1">
      <c r="A334" s="4">
        <v>4.8412823E7</v>
      </c>
      <c r="B334" s="4" t="s">
        <v>248</v>
      </c>
      <c r="C334" s="4" t="s">
        <v>249</v>
      </c>
      <c r="D334" s="5">
        <v>46023.0</v>
      </c>
      <c r="E334" s="4" t="s">
        <v>271</v>
      </c>
      <c r="F334" s="4" t="s">
        <v>272</v>
      </c>
    </row>
    <row r="335" ht="15.75" customHeight="1">
      <c r="A335" s="4">
        <v>4.8995015E7</v>
      </c>
      <c r="B335" s="4" t="s">
        <v>35</v>
      </c>
      <c r="C335" s="4" t="s">
        <v>36</v>
      </c>
      <c r="D335" s="5">
        <v>46045.0</v>
      </c>
      <c r="E335" s="4" t="s">
        <v>277</v>
      </c>
      <c r="F335" s="4" t="s">
        <v>272</v>
      </c>
    </row>
    <row r="336" ht="15.75" customHeight="1">
      <c r="A336" s="4">
        <v>5.0020361E7</v>
      </c>
      <c r="B336" s="4" t="s">
        <v>7</v>
      </c>
      <c r="C336" s="4" t="s">
        <v>8</v>
      </c>
      <c r="D336" s="5">
        <v>46067.0</v>
      </c>
      <c r="E336" s="4" t="s">
        <v>273</v>
      </c>
      <c r="F336" s="4" t="s">
        <v>270</v>
      </c>
    </row>
    <row r="337" ht="15.75" customHeight="1">
      <c r="A337" s="4">
        <v>4.8628917E7</v>
      </c>
      <c r="B337" s="4" t="s">
        <v>250</v>
      </c>
      <c r="C337" s="4" t="s">
        <v>251</v>
      </c>
      <c r="D337" s="5">
        <v>46034.0</v>
      </c>
      <c r="E337" s="4" t="s">
        <v>276</v>
      </c>
      <c r="F337" s="4" t="s">
        <v>272</v>
      </c>
    </row>
    <row r="338" ht="15.75" customHeight="1">
      <c r="A338" s="4">
        <v>4.8713137E7</v>
      </c>
      <c r="B338" s="4" t="s">
        <v>252</v>
      </c>
      <c r="D338" s="5">
        <v>46041.0</v>
      </c>
      <c r="E338" s="4" t="s">
        <v>276</v>
      </c>
      <c r="F338" s="4" t="s">
        <v>272</v>
      </c>
    </row>
    <row r="339" ht="15.75" customHeight="1">
      <c r="A339" s="4">
        <v>4.9724496E7</v>
      </c>
      <c r="B339" s="4" t="s">
        <v>73</v>
      </c>
      <c r="C339" s="4" t="s">
        <v>74</v>
      </c>
      <c r="D339" s="5">
        <v>46050.0</v>
      </c>
      <c r="E339" s="4" t="s">
        <v>269</v>
      </c>
      <c r="F339" s="4" t="s">
        <v>272</v>
      </c>
    </row>
    <row r="340" ht="15.75" customHeight="1">
      <c r="A340" s="4">
        <v>4.9724554E7</v>
      </c>
      <c r="B340" s="4" t="s">
        <v>39</v>
      </c>
      <c r="C340" s="4" t="s">
        <v>40</v>
      </c>
      <c r="D340" s="5">
        <v>46061.0</v>
      </c>
      <c r="E340" s="4" t="s">
        <v>274</v>
      </c>
      <c r="F340" s="4" t="s">
        <v>270</v>
      </c>
    </row>
    <row r="341" ht="15.75" customHeight="1">
      <c r="A341" s="4">
        <v>5.0326052E7</v>
      </c>
      <c r="B341" s="4" t="s">
        <v>59</v>
      </c>
      <c r="C341" s="4" t="s">
        <v>60</v>
      </c>
      <c r="D341" s="5">
        <v>46075.0</v>
      </c>
      <c r="E341" s="4" t="s">
        <v>274</v>
      </c>
      <c r="F341" s="4" t="s">
        <v>270</v>
      </c>
    </row>
    <row r="342" ht="15.75" customHeight="1">
      <c r="A342" s="4">
        <v>4.9622602E7</v>
      </c>
      <c r="B342" s="4" t="s">
        <v>57</v>
      </c>
      <c r="C342" s="4" t="s">
        <v>58</v>
      </c>
      <c r="D342" s="5">
        <v>46053.0</v>
      </c>
      <c r="E342" s="4" t="s">
        <v>273</v>
      </c>
      <c r="F342" s="4" t="s">
        <v>272</v>
      </c>
    </row>
    <row r="343" ht="15.75" customHeight="1">
      <c r="A343" s="4">
        <v>4.9724559E7</v>
      </c>
      <c r="B343" s="4" t="s">
        <v>79</v>
      </c>
      <c r="C343" s="4" t="s">
        <v>80</v>
      </c>
      <c r="D343" s="5">
        <v>46062.0</v>
      </c>
      <c r="E343" s="4" t="s">
        <v>276</v>
      </c>
      <c r="F343" s="4" t="s">
        <v>270</v>
      </c>
    </row>
    <row r="344" ht="15.75" customHeight="1">
      <c r="A344" s="4">
        <v>4.8914263E7</v>
      </c>
      <c r="B344" s="4" t="s">
        <v>100</v>
      </c>
      <c r="C344" s="4" t="s">
        <v>101</v>
      </c>
      <c r="D344" s="5">
        <v>46046.0</v>
      </c>
      <c r="E344" s="4" t="s">
        <v>273</v>
      </c>
      <c r="F344" s="4" t="s">
        <v>272</v>
      </c>
    </row>
    <row r="345" ht="15.75" customHeight="1">
      <c r="A345" s="4">
        <v>4.9298817E7</v>
      </c>
      <c r="B345" s="4" t="s">
        <v>124</v>
      </c>
      <c r="C345" s="4" t="s">
        <v>125</v>
      </c>
      <c r="D345" s="5">
        <v>46053.0</v>
      </c>
      <c r="E345" s="4" t="s">
        <v>273</v>
      </c>
      <c r="F345" s="4" t="s">
        <v>272</v>
      </c>
    </row>
    <row r="346" ht="15.75" customHeight="1">
      <c r="A346" s="4">
        <v>4.930328E7</v>
      </c>
      <c r="B346" s="4" t="s">
        <v>37</v>
      </c>
      <c r="C346" s="4" t="s">
        <v>38</v>
      </c>
      <c r="D346" s="5">
        <v>46053.0</v>
      </c>
      <c r="E346" s="4" t="s">
        <v>273</v>
      </c>
      <c r="F346" s="4" t="s">
        <v>272</v>
      </c>
    </row>
    <row r="347" ht="15.75" customHeight="1">
      <c r="A347" s="4">
        <v>4.9724512E7</v>
      </c>
      <c r="B347" s="4" t="s">
        <v>253</v>
      </c>
      <c r="C347" s="4" t="s">
        <v>254</v>
      </c>
      <c r="D347" s="5">
        <v>46056.0</v>
      </c>
      <c r="E347" s="4" t="s">
        <v>275</v>
      </c>
      <c r="F347" s="4" t="s">
        <v>270</v>
      </c>
    </row>
    <row r="348" ht="15.75" customHeight="1">
      <c r="A348" s="4">
        <v>4.9888481E7</v>
      </c>
      <c r="B348" s="4" t="s">
        <v>21</v>
      </c>
      <c r="C348" s="4" t="s">
        <v>22</v>
      </c>
      <c r="D348" s="5">
        <v>46064.0</v>
      </c>
      <c r="E348" s="4" t="s">
        <v>269</v>
      </c>
      <c r="F348" s="4" t="s">
        <v>270</v>
      </c>
    </row>
    <row r="349" ht="15.75" customHeight="1">
      <c r="A349" s="4">
        <v>4.9620075E7</v>
      </c>
      <c r="B349" s="4" t="s">
        <v>169</v>
      </c>
      <c r="C349" s="4" t="s">
        <v>170</v>
      </c>
      <c r="D349" s="5">
        <v>46059.0</v>
      </c>
      <c r="E349" s="4" t="s">
        <v>277</v>
      </c>
      <c r="F349" s="4" t="s">
        <v>270</v>
      </c>
    </row>
    <row r="350" ht="15.75" customHeight="1">
      <c r="A350" s="4">
        <v>5.0032426E7</v>
      </c>
      <c r="B350" s="4" t="s">
        <v>118</v>
      </c>
      <c r="C350" s="4" t="s">
        <v>119</v>
      </c>
      <c r="D350" s="5">
        <v>46068.0</v>
      </c>
      <c r="E350" s="4" t="s">
        <v>274</v>
      </c>
      <c r="F350" s="4" t="s">
        <v>270</v>
      </c>
    </row>
    <row r="351" ht="15.75" customHeight="1">
      <c r="A351" s="4">
        <v>4.866726E7</v>
      </c>
      <c r="B351" s="4" t="s">
        <v>242</v>
      </c>
      <c r="C351" s="4" t="s">
        <v>243</v>
      </c>
      <c r="D351" s="5">
        <v>46036.0</v>
      </c>
      <c r="E351" s="4" t="s">
        <v>269</v>
      </c>
      <c r="F351" s="4" t="s">
        <v>272</v>
      </c>
    </row>
    <row r="352" ht="15.75" customHeight="1">
      <c r="A352" s="4">
        <v>4.8995012E7</v>
      </c>
      <c r="B352" s="4" t="s">
        <v>73</v>
      </c>
      <c r="C352" s="4" t="s">
        <v>74</v>
      </c>
      <c r="D352" s="5">
        <v>46045.0</v>
      </c>
      <c r="E352" s="4" t="s">
        <v>277</v>
      </c>
      <c r="F352" s="4" t="s">
        <v>272</v>
      </c>
    </row>
    <row r="353" ht="15.75" customHeight="1">
      <c r="A353" s="4">
        <v>4.9961901E7</v>
      </c>
      <c r="B353" s="4" t="s">
        <v>238</v>
      </c>
      <c r="C353" s="4" t="s">
        <v>239</v>
      </c>
      <c r="D353" s="5">
        <v>46065.0</v>
      </c>
      <c r="E353" s="4" t="s">
        <v>271</v>
      </c>
      <c r="F353" s="4" t="s">
        <v>270</v>
      </c>
    </row>
    <row r="354" ht="15.75" customHeight="1">
      <c r="A354" s="4">
        <v>5.0031441E7</v>
      </c>
      <c r="B354" s="4" t="s">
        <v>257</v>
      </c>
      <c r="C354" s="4" t="s">
        <v>258</v>
      </c>
      <c r="D354" s="5">
        <v>46067.0</v>
      </c>
      <c r="E354" s="4" t="s">
        <v>273</v>
      </c>
      <c r="F354" s="4" t="s">
        <v>270</v>
      </c>
    </row>
    <row r="355" ht="15.75" customHeight="1">
      <c r="A355" s="4">
        <v>4.8712391E7</v>
      </c>
      <c r="B355" s="4" t="s">
        <v>259</v>
      </c>
      <c r="C355" s="4" t="s">
        <v>260</v>
      </c>
      <c r="D355" s="5">
        <v>46041.0</v>
      </c>
      <c r="E355" s="4" t="s">
        <v>276</v>
      </c>
      <c r="F355" s="4" t="s">
        <v>272</v>
      </c>
    </row>
    <row r="356" ht="15.75" customHeight="1">
      <c r="A356" s="4">
        <v>5.0084944E7</v>
      </c>
      <c r="B356" s="4" t="s">
        <v>177</v>
      </c>
      <c r="C356" s="4" t="s">
        <v>178</v>
      </c>
      <c r="D356" s="5">
        <v>46071.0</v>
      </c>
      <c r="E356" s="4" t="s">
        <v>269</v>
      </c>
      <c r="F356" s="4" t="s">
        <v>270</v>
      </c>
    </row>
    <row r="357" ht="15.75" customHeight="1">
      <c r="A357" s="4">
        <v>4.9671663E7</v>
      </c>
      <c r="B357" s="4" t="s">
        <v>39</v>
      </c>
      <c r="C357" s="4" t="s">
        <v>40</v>
      </c>
      <c r="D357" s="5">
        <v>46062.0</v>
      </c>
      <c r="E357" s="4" t="s">
        <v>276</v>
      </c>
      <c r="F357" s="4" t="s">
        <v>270</v>
      </c>
    </row>
    <row r="358" ht="15.75" customHeight="1">
      <c r="A358" s="4">
        <v>4.9888488E7</v>
      </c>
      <c r="B358" s="4" t="s">
        <v>7</v>
      </c>
      <c r="C358" s="4" t="s">
        <v>8</v>
      </c>
      <c r="D358" s="5">
        <v>46064.0</v>
      </c>
      <c r="E358" s="4" t="s">
        <v>269</v>
      </c>
      <c r="F358" s="4" t="s">
        <v>270</v>
      </c>
    </row>
    <row r="359" ht="15.75" customHeight="1">
      <c r="A359" s="4">
        <v>4.9304156E7</v>
      </c>
      <c r="B359" s="4" t="s">
        <v>261</v>
      </c>
      <c r="C359" s="4" t="s">
        <v>262</v>
      </c>
      <c r="D359" s="5">
        <v>46054.0</v>
      </c>
      <c r="E359" s="4" t="s">
        <v>274</v>
      </c>
      <c r="F359" s="4" t="s">
        <v>270</v>
      </c>
    </row>
    <row r="360" ht="15.75" customHeight="1">
      <c r="A360" s="4">
        <v>4.903007E7</v>
      </c>
      <c r="B360" s="4" t="s">
        <v>130</v>
      </c>
      <c r="C360" s="4" t="s">
        <v>131</v>
      </c>
      <c r="D360" s="5">
        <v>46042.0</v>
      </c>
      <c r="E360" s="4" t="s">
        <v>275</v>
      </c>
      <c r="F360" s="4" t="s">
        <v>272</v>
      </c>
    </row>
    <row r="361" ht="15.75" customHeight="1">
      <c r="A361" s="4">
        <v>4.924992E7</v>
      </c>
      <c r="B361" s="4" t="s">
        <v>43</v>
      </c>
      <c r="C361" s="4" t="s">
        <v>44</v>
      </c>
      <c r="D361" s="5">
        <v>46051.0</v>
      </c>
      <c r="E361" s="4" t="s">
        <v>271</v>
      </c>
      <c r="F361" s="4" t="s">
        <v>272</v>
      </c>
    </row>
    <row r="362" ht="15.75" customHeight="1">
      <c r="A362" s="4">
        <v>4.8722327E7</v>
      </c>
      <c r="B362" s="4" t="s">
        <v>37</v>
      </c>
      <c r="C362" s="4" t="s">
        <v>38</v>
      </c>
      <c r="D362" s="5">
        <v>46042.0</v>
      </c>
      <c r="E362" s="4" t="s">
        <v>275</v>
      </c>
      <c r="F362" s="4" t="s">
        <v>272</v>
      </c>
    </row>
    <row r="363" ht="15.75" customHeight="1">
      <c r="A363" s="4">
        <v>4.9512908E7</v>
      </c>
      <c r="B363" s="4" t="s">
        <v>73</v>
      </c>
      <c r="C363" s="4" t="s">
        <v>74</v>
      </c>
      <c r="D363" s="5">
        <v>46057.0</v>
      </c>
      <c r="E363" s="4" t="s">
        <v>269</v>
      </c>
      <c r="F363" s="4" t="s">
        <v>270</v>
      </c>
    </row>
    <row r="364" ht="15.75" customHeight="1">
      <c r="A364" s="4">
        <v>4.8601121E7</v>
      </c>
      <c r="B364" s="4" t="s">
        <v>263</v>
      </c>
      <c r="C364" s="4" t="s">
        <v>264</v>
      </c>
      <c r="D364" s="5">
        <v>46030.0</v>
      </c>
      <c r="E364" s="4" t="s">
        <v>271</v>
      </c>
      <c r="F364" s="4" t="s">
        <v>272</v>
      </c>
    </row>
    <row r="365" ht="15.75" customHeight="1">
      <c r="A365" s="4">
        <v>4.8762751E7</v>
      </c>
      <c r="B365" s="4" t="s">
        <v>160</v>
      </c>
      <c r="C365" s="4" t="s">
        <v>161</v>
      </c>
      <c r="D365" s="5">
        <v>46045.0</v>
      </c>
      <c r="E365" s="4" t="s">
        <v>277</v>
      </c>
      <c r="F365" s="4" t="s">
        <v>272</v>
      </c>
    </row>
    <row r="366" ht="15.75" customHeight="1">
      <c r="A366" s="4">
        <v>4.8431366E7</v>
      </c>
      <c r="B366" s="4" t="s">
        <v>55</v>
      </c>
      <c r="C366" s="4" t="s">
        <v>56</v>
      </c>
      <c r="D366" s="5">
        <v>46023.0</v>
      </c>
      <c r="E366" s="4" t="s">
        <v>271</v>
      </c>
      <c r="F366" s="4" t="s">
        <v>272</v>
      </c>
    </row>
    <row r="367" ht="15.75" customHeight="1">
      <c r="A367" s="4">
        <v>5.0026586E7</v>
      </c>
      <c r="B367" s="4" t="s">
        <v>265</v>
      </c>
      <c r="C367" s="4" t="s">
        <v>266</v>
      </c>
      <c r="D367" s="5">
        <v>46066.0</v>
      </c>
      <c r="E367" s="4" t="s">
        <v>277</v>
      </c>
      <c r="F367" s="4" t="s">
        <v>270</v>
      </c>
    </row>
    <row r="368" ht="15.75" customHeight="1">
      <c r="A368" s="4">
        <v>4.9298809E7</v>
      </c>
      <c r="B368" s="4" t="s">
        <v>69</v>
      </c>
      <c r="C368" s="4" t="s">
        <v>70</v>
      </c>
      <c r="D368" s="5">
        <v>46053.0</v>
      </c>
      <c r="E368" s="4" t="s">
        <v>273</v>
      </c>
      <c r="F368" s="4" t="s">
        <v>272</v>
      </c>
    </row>
    <row r="369" ht="15.75" customHeight="1">
      <c r="A369" s="4">
        <v>4.9298824E7</v>
      </c>
      <c r="B369" s="4" t="s">
        <v>267</v>
      </c>
      <c r="C369" s="4" t="s">
        <v>268</v>
      </c>
      <c r="D369" s="5">
        <v>46053.0</v>
      </c>
      <c r="E369" s="4" t="s">
        <v>273</v>
      </c>
      <c r="F369" s="4" t="s">
        <v>272</v>
      </c>
    </row>
    <row r="370" ht="15.75" customHeight="1">
      <c r="A370" s="4">
        <v>4.8742842E7</v>
      </c>
      <c r="B370" s="4" t="s">
        <v>130</v>
      </c>
      <c r="C370" s="4" t="s">
        <v>131</v>
      </c>
      <c r="D370" s="5">
        <v>46043.0</v>
      </c>
      <c r="E370" s="4" t="s">
        <v>269</v>
      </c>
      <c r="F370" s="4" t="s">
        <v>272</v>
      </c>
    </row>
    <row r="371" ht="15.75" customHeight="1">
      <c r="A371" s="4">
        <v>4.9395891E7</v>
      </c>
      <c r="B371" s="4" t="s">
        <v>35</v>
      </c>
      <c r="C371" s="4" t="s">
        <v>36</v>
      </c>
      <c r="D371" s="5">
        <v>46054.0</v>
      </c>
      <c r="E371" s="4" t="s">
        <v>274</v>
      </c>
      <c r="F371" s="4" t="s">
        <v>270</v>
      </c>
    </row>
    <row r="372" ht="15.75" customHeight="1">
      <c r="A372" s="4">
        <v>4.8665828E7</v>
      </c>
      <c r="B372" s="4" t="s">
        <v>39</v>
      </c>
      <c r="C372" s="4" t="s">
        <v>40</v>
      </c>
      <c r="D372" s="5">
        <v>46037.0</v>
      </c>
      <c r="E372" s="4" t="s">
        <v>271</v>
      </c>
      <c r="F372" s="4" t="s">
        <v>272</v>
      </c>
    </row>
    <row r="373" ht="15.75" customHeight="1">
      <c r="A373" s="4">
        <v>4.9381976E7</v>
      </c>
      <c r="B373" s="4" t="s">
        <v>7</v>
      </c>
      <c r="C373" s="4" t="s">
        <v>8</v>
      </c>
      <c r="D373" s="5">
        <v>46055.0</v>
      </c>
      <c r="E373" s="4" t="s">
        <v>276</v>
      </c>
      <c r="F373" s="4" t="s">
        <v>270</v>
      </c>
    </row>
    <row r="374" ht="15.75" customHeight="1">
      <c r="A374" s="4">
        <v>4.9395884E7</v>
      </c>
      <c r="B374" s="4" t="s">
        <v>51</v>
      </c>
      <c r="C374" s="4" t="s">
        <v>52</v>
      </c>
      <c r="D374" s="5">
        <v>46053.0</v>
      </c>
      <c r="E374" s="4" t="s">
        <v>273</v>
      </c>
      <c r="F374" s="4" t="s">
        <v>272</v>
      </c>
    </row>
    <row r="375" ht="15.75" customHeight="1">
      <c r="A375" s="4">
        <v>4.9603675E7</v>
      </c>
      <c r="B375" s="4" t="s">
        <v>81</v>
      </c>
      <c r="C375" s="4" t="s">
        <v>82</v>
      </c>
      <c r="D375" s="5">
        <v>46059.0</v>
      </c>
      <c r="E375" s="4" t="s">
        <v>277</v>
      </c>
      <c r="F375" s="4" t="s">
        <v>270</v>
      </c>
    </row>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6.5"/>
    <col customWidth="1" min="4" max="6" width="12.63"/>
  </cols>
  <sheetData>
    <row r="1" ht="15.75" customHeight="1">
      <c r="A1" s="6" t="str">
        <f>IFERROR(__xludf.DUMMYFUNCTION("query(Data, ""Select C, D, F where C like '%Ladybird%' or C like '%Shield%'"")"),"Common name")</f>
        <v>Common name</v>
      </c>
      <c r="B1" s="6" t="str">
        <f>IFERROR(__xludf.DUMMYFUNCTION("""COMPUTED_VALUE"""),"Event Date")</f>
        <v>Event Date</v>
      </c>
      <c r="C1" s="6" t="str">
        <f>IFERROR(__xludf.DUMMYFUNCTION("""COMPUTED_VALUE"""),"Month")</f>
        <v>Month</v>
      </c>
      <c r="D1" s="1" t="s">
        <v>278</v>
      </c>
      <c r="E1" s="8"/>
      <c r="F1" s="6"/>
      <c r="G1" s="6"/>
      <c r="H1" s="6"/>
      <c r="I1" s="6"/>
      <c r="J1" s="6"/>
      <c r="K1" s="6"/>
      <c r="L1" s="6"/>
      <c r="M1" s="6"/>
      <c r="N1" s="6"/>
      <c r="O1" s="6"/>
      <c r="P1" s="6"/>
      <c r="Q1" s="6"/>
      <c r="R1" s="6"/>
      <c r="S1" s="6"/>
      <c r="T1" s="6"/>
      <c r="U1" s="6"/>
      <c r="V1" s="6"/>
      <c r="W1" s="6"/>
      <c r="X1" s="6"/>
      <c r="Y1" s="6"/>
      <c r="Z1" s="6"/>
    </row>
    <row r="2" ht="15.75" customHeight="1">
      <c r="A2" s="4" t="str">
        <f>IFERROR(__xludf.DUMMYFUNCTION("""COMPUTED_VALUE"""),"2-spot Ladybird")</f>
        <v>2-spot Ladybird</v>
      </c>
      <c r="B2" s="5">
        <f>IFERROR(__xludf.DUMMYFUNCTION("""COMPUTED_VALUE"""),46053.0)</f>
        <v>46053</v>
      </c>
      <c r="C2" s="4" t="str">
        <f>IFERROR(__xludf.DUMMYFUNCTION("""COMPUTED_VALUE"""),"January")</f>
        <v>January</v>
      </c>
      <c r="D2" s="3" t="s">
        <v>279</v>
      </c>
      <c r="E2" s="9"/>
    </row>
    <row r="3" ht="15.75" customHeight="1">
      <c r="A3" s="4" t="str">
        <f>IFERROR(__xludf.DUMMYFUNCTION("""COMPUTED_VALUE"""),"Orange Ladybird")</f>
        <v>Orange Ladybird</v>
      </c>
      <c r="B3" s="5">
        <f>IFERROR(__xludf.DUMMYFUNCTION("""COMPUTED_VALUE"""),46053.0)</f>
        <v>46053</v>
      </c>
      <c r="C3" s="4" t="str">
        <f>IFERROR(__xludf.DUMMYFUNCTION("""COMPUTED_VALUE"""),"January")</f>
        <v>January</v>
      </c>
      <c r="D3" s="3" t="s">
        <v>279</v>
      </c>
      <c r="E3" s="9"/>
    </row>
    <row r="4" ht="15.75" customHeight="1">
      <c r="A4" s="4" t="str">
        <f>IFERROR(__xludf.DUMMYFUNCTION("""COMPUTED_VALUE"""),"2-spot Ladybird")</f>
        <v>2-spot Ladybird</v>
      </c>
      <c r="B4" s="5">
        <f>IFERROR(__xludf.DUMMYFUNCTION("""COMPUTED_VALUE"""),46067.0)</f>
        <v>46067</v>
      </c>
      <c r="C4" s="4" t="str">
        <f>IFERROR(__xludf.DUMMYFUNCTION("""COMPUTED_VALUE"""),"February")</f>
        <v>February</v>
      </c>
      <c r="D4" s="3" t="s">
        <v>279</v>
      </c>
      <c r="E4" s="9"/>
    </row>
    <row r="5" ht="15.75" customHeight="1">
      <c r="A5" s="4" t="str">
        <f>IFERROR(__xludf.DUMMYFUNCTION("""COMPUTED_VALUE"""),"7-spot Ladybird")</f>
        <v>7-spot Ladybird</v>
      </c>
      <c r="B5" s="5">
        <f>IFERROR(__xludf.DUMMYFUNCTION("""COMPUTED_VALUE"""),46053.0)</f>
        <v>46053</v>
      </c>
      <c r="C5" s="4" t="str">
        <f>IFERROR(__xludf.DUMMYFUNCTION("""COMPUTED_VALUE"""),"January")</f>
        <v>January</v>
      </c>
      <c r="D5" s="3" t="s">
        <v>279</v>
      </c>
      <c r="E5" s="9"/>
    </row>
    <row r="6" ht="15.75" customHeight="1">
      <c r="A6" s="4" t="str">
        <f>IFERROR(__xludf.DUMMYFUNCTION("""COMPUTED_VALUE"""),"Harlequin Ladybird")</f>
        <v>Harlequin Ladybird</v>
      </c>
      <c r="B6" s="5">
        <f>IFERROR(__xludf.DUMMYFUNCTION("""COMPUTED_VALUE"""),46067.0)</f>
        <v>46067</v>
      </c>
      <c r="C6" s="4" t="str">
        <f>IFERROR(__xludf.DUMMYFUNCTION("""COMPUTED_VALUE"""),"February")</f>
        <v>February</v>
      </c>
      <c r="D6" s="3" t="s">
        <v>279</v>
      </c>
      <c r="E6" s="9"/>
    </row>
    <row r="7" ht="15.75" customHeight="1">
      <c r="A7" s="4" t="str">
        <f>IFERROR(__xludf.DUMMYFUNCTION("""COMPUTED_VALUE"""),"Harlequin Ladybird")</f>
        <v>Harlequin Ladybird</v>
      </c>
      <c r="B7" s="5">
        <f>IFERROR(__xludf.DUMMYFUNCTION("""COMPUTED_VALUE"""),46053.0)</f>
        <v>46053</v>
      </c>
      <c r="C7" s="4" t="str">
        <f>IFERROR(__xludf.DUMMYFUNCTION("""COMPUTED_VALUE"""),"January")</f>
        <v>January</v>
      </c>
      <c r="D7" s="3" t="s">
        <v>279</v>
      </c>
      <c r="E7" s="9"/>
    </row>
    <row r="8" ht="15.75" customHeight="1">
      <c r="A8" s="4" t="str">
        <f>IFERROR(__xludf.DUMMYFUNCTION("""COMPUTED_VALUE"""),"Harlequin Ladybird")</f>
        <v>Harlequin Ladybird</v>
      </c>
      <c r="B8" s="5">
        <f>IFERROR(__xludf.DUMMYFUNCTION("""COMPUTED_VALUE"""),46073.0)</f>
        <v>46073</v>
      </c>
      <c r="C8" s="4" t="str">
        <f>IFERROR(__xludf.DUMMYFUNCTION("""COMPUTED_VALUE"""),"February")</f>
        <v>February</v>
      </c>
      <c r="D8" s="3" t="s">
        <v>279</v>
      </c>
      <c r="E8" s="9"/>
    </row>
    <row r="9" ht="15.75" customHeight="1">
      <c r="A9" s="4" t="str">
        <f>IFERROR(__xludf.DUMMYFUNCTION("""COMPUTED_VALUE"""),"Harlequin Ladybird")</f>
        <v>Harlequin Ladybird</v>
      </c>
      <c r="B9" s="5">
        <f>IFERROR(__xludf.DUMMYFUNCTION("""COMPUTED_VALUE"""),46031.0)</f>
        <v>46031</v>
      </c>
      <c r="C9" s="4" t="str">
        <f>IFERROR(__xludf.DUMMYFUNCTION("""COMPUTED_VALUE"""),"January")</f>
        <v>January</v>
      </c>
      <c r="D9" s="3" t="s">
        <v>279</v>
      </c>
      <c r="E9" s="9"/>
    </row>
    <row r="10" ht="15.75" customHeight="1">
      <c r="A10" s="4" t="str">
        <f>IFERROR(__xludf.DUMMYFUNCTION("""COMPUTED_VALUE"""),"7-spot Ladybird")</f>
        <v>7-spot Ladybird</v>
      </c>
      <c r="B10" s="5">
        <f>IFERROR(__xludf.DUMMYFUNCTION("""COMPUTED_VALUE"""),46061.0)</f>
        <v>46061</v>
      </c>
      <c r="C10" s="4" t="str">
        <f>IFERROR(__xludf.DUMMYFUNCTION("""COMPUTED_VALUE"""),"February")</f>
        <v>February</v>
      </c>
      <c r="D10" s="3" t="s">
        <v>279</v>
      </c>
      <c r="E10" s="9"/>
    </row>
    <row r="11" ht="15.75" customHeight="1">
      <c r="A11" s="4" t="str">
        <f>IFERROR(__xludf.DUMMYFUNCTION("""COMPUTED_VALUE"""),"Green Shieldbug")</f>
        <v>Green Shieldbug</v>
      </c>
      <c r="B11" s="5">
        <f>IFERROR(__xludf.DUMMYFUNCTION("""COMPUTED_VALUE"""),46053.0)</f>
        <v>46053</v>
      </c>
      <c r="C11" s="4" t="str">
        <f>IFERROR(__xludf.DUMMYFUNCTION("""COMPUTED_VALUE"""),"January")</f>
        <v>January</v>
      </c>
      <c r="D11" s="3" t="s">
        <v>280</v>
      </c>
      <c r="E11" s="9"/>
    </row>
    <row r="12" ht="15.75" customHeight="1">
      <c r="A12" s="4" t="str">
        <f>IFERROR(__xludf.DUMMYFUNCTION("""COMPUTED_VALUE"""),"Harlequin Ladybird")</f>
        <v>Harlequin Ladybird</v>
      </c>
      <c r="B12" s="5">
        <f>IFERROR(__xludf.DUMMYFUNCTION("""COMPUTED_VALUE"""),46077.0)</f>
        <v>46077</v>
      </c>
      <c r="C12" s="4" t="str">
        <f>IFERROR(__xludf.DUMMYFUNCTION("""COMPUTED_VALUE"""),"February")</f>
        <v>February</v>
      </c>
      <c r="D12" s="3" t="s">
        <v>279</v>
      </c>
      <c r="E12" s="9"/>
    </row>
    <row r="13" ht="15.75" customHeight="1">
      <c r="A13" s="4" t="str">
        <f>IFERROR(__xludf.DUMMYFUNCTION("""COMPUTED_VALUE"""),"7-spot Ladybird")</f>
        <v>7-spot Ladybird</v>
      </c>
      <c r="B13" s="5">
        <f>IFERROR(__xludf.DUMMYFUNCTION("""COMPUTED_VALUE"""),46067.0)</f>
        <v>46067</v>
      </c>
      <c r="C13" s="4" t="str">
        <f>IFERROR(__xludf.DUMMYFUNCTION("""COMPUTED_VALUE"""),"February")</f>
        <v>February</v>
      </c>
      <c r="D13" s="3" t="s">
        <v>279</v>
      </c>
      <c r="E13" s="9"/>
    </row>
    <row r="14" ht="15.75" customHeight="1">
      <c r="A14" s="4" t="str">
        <f>IFERROR(__xludf.DUMMYFUNCTION("""COMPUTED_VALUE"""),"Harlequin Ladybird")</f>
        <v>Harlequin Ladybird</v>
      </c>
      <c r="B14" s="5">
        <f>IFERROR(__xludf.DUMMYFUNCTION("""COMPUTED_VALUE"""),46045.0)</f>
        <v>46045</v>
      </c>
      <c r="C14" s="4" t="str">
        <f>IFERROR(__xludf.DUMMYFUNCTION("""COMPUTED_VALUE"""),"January")</f>
        <v>January</v>
      </c>
      <c r="D14" s="3" t="s">
        <v>279</v>
      </c>
      <c r="E14" s="9"/>
    </row>
    <row r="15" ht="15.75" customHeight="1">
      <c r="A15" s="4" t="str">
        <f>IFERROR(__xludf.DUMMYFUNCTION("""COMPUTED_VALUE"""),"Harlequin Ladybird")</f>
        <v>Harlequin Ladybird</v>
      </c>
      <c r="B15" s="5">
        <f>IFERROR(__xludf.DUMMYFUNCTION("""COMPUTED_VALUE"""),46075.0)</f>
        <v>46075</v>
      </c>
      <c r="C15" s="4" t="str">
        <f>IFERROR(__xludf.DUMMYFUNCTION("""COMPUTED_VALUE"""),"February")</f>
        <v>February</v>
      </c>
      <c r="D15" s="3" t="s">
        <v>279</v>
      </c>
      <c r="E15" s="9"/>
    </row>
    <row r="16" ht="15.75" customHeight="1">
      <c r="A16" s="4" t="str">
        <f>IFERROR(__xludf.DUMMYFUNCTION("""COMPUTED_VALUE"""),"Hawthorn Shieldbug")</f>
        <v>Hawthorn Shieldbug</v>
      </c>
      <c r="B16" s="5">
        <f>IFERROR(__xludf.DUMMYFUNCTION("""COMPUTED_VALUE"""),46046.0)</f>
        <v>46046</v>
      </c>
      <c r="C16" s="4" t="str">
        <f>IFERROR(__xludf.DUMMYFUNCTION("""COMPUTED_VALUE"""),"January")</f>
        <v>January</v>
      </c>
      <c r="D16" s="3" t="s">
        <v>280</v>
      </c>
      <c r="E16" s="9"/>
    </row>
    <row r="17" ht="15.75" customHeight="1">
      <c r="A17" s="4" t="str">
        <f>IFERROR(__xludf.DUMMYFUNCTION("""COMPUTED_VALUE"""),"Orange Ladybird")</f>
        <v>Orange Ladybird</v>
      </c>
      <c r="B17" s="5">
        <f>IFERROR(__xludf.DUMMYFUNCTION("""COMPUTED_VALUE"""),46067.0)</f>
        <v>46067</v>
      </c>
      <c r="C17" s="4" t="str">
        <f>IFERROR(__xludf.DUMMYFUNCTION("""COMPUTED_VALUE"""),"February")</f>
        <v>February</v>
      </c>
      <c r="D17" s="3" t="s">
        <v>279</v>
      </c>
      <c r="E17" s="9"/>
    </row>
    <row r="18" ht="15.75" customHeight="1">
      <c r="A18" s="4" t="str">
        <f>IFERROR(__xludf.DUMMYFUNCTION("""COMPUTED_VALUE"""),"Harlequin Ladybird")</f>
        <v>Harlequin Ladybird</v>
      </c>
      <c r="B18" s="5">
        <f>IFERROR(__xludf.DUMMYFUNCTION("""COMPUTED_VALUE"""),46042.0)</f>
        <v>46042</v>
      </c>
      <c r="C18" s="4" t="str">
        <f>IFERROR(__xludf.DUMMYFUNCTION("""COMPUTED_VALUE"""),"January")</f>
        <v>January</v>
      </c>
      <c r="D18" s="3" t="s">
        <v>279</v>
      </c>
      <c r="E18" s="9"/>
    </row>
    <row r="19" ht="15.75" customHeight="1">
      <c r="A19" s="4" t="str">
        <f>IFERROR(__xludf.DUMMYFUNCTION("""COMPUTED_VALUE"""),"7-spot Ladybird")</f>
        <v>7-spot Ladybird</v>
      </c>
      <c r="B19" s="5">
        <f>IFERROR(__xludf.DUMMYFUNCTION("""COMPUTED_VALUE"""),46053.0)</f>
        <v>46053</v>
      </c>
      <c r="C19" s="4" t="str">
        <f>IFERROR(__xludf.DUMMYFUNCTION("""COMPUTED_VALUE"""),"January")</f>
        <v>January</v>
      </c>
      <c r="D19" s="3" t="s">
        <v>279</v>
      </c>
      <c r="E19" s="9"/>
    </row>
    <row r="20" ht="15.75" customHeight="1">
      <c r="A20" s="4" t="str">
        <f>IFERROR(__xludf.DUMMYFUNCTION("""COMPUTED_VALUE"""),"10-spot Ladybird")</f>
        <v>10-spot Ladybird</v>
      </c>
      <c r="B20" s="5">
        <f>IFERROR(__xludf.DUMMYFUNCTION("""COMPUTED_VALUE"""),46047.0)</f>
        <v>46047</v>
      </c>
      <c r="C20" s="4" t="str">
        <f>IFERROR(__xludf.DUMMYFUNCTION("""COMPUTED_VALUE"""),"January")</f>
        <v>January</v>
      </c>
      <c r="D20" s="3" t="s">
        <v>279</v>
      </c>
      <c r="E20" s="9"/>
    </row>
    <row r="21" ht="15.75" customHeight="1">
      <c r="A21" s="4" t="str">
        <f>IFERROR(__xludf.DUMMYFUNCTION("""COMPUTED_VALUE"""),"Hawthorn Shieldbug")</f>
        <v>Hawthorn Shieldbug</v>
      </c>
      <c r="B21" s="5">
        <f>IFERROR(__xludf.DUMMYFUNCTION("""COMPUTED_VALUE"""),46067.0)</f>
        <v>46067</v>
      </c>
      <c r="C21" s="4" t="str">
        <f>IFERROR(__xludf.DUMMYFUNCTION("""COMPUTED_VALUE"""),"February")</f>
        <v>February</v>
      </c>
      <c r="D21" s="3" t="s">
        <v>280</v>
      </c>
      <c r="E21" s="9"/>
    </row>
    <row r="22" ht="15.75" customHeight="1">
      <c r="A22" s="4" t="str">
        <f>IFERROR(__xludf.DUMMYFUNCTION("""COMPUTED_VALUE"""),"7-spot Ladybird")</f>
        <v>7-spot Ladybird</v>
      </c>
      <c r="B22" s="5">
        <f>IFERROR(__xludf.DUMMYFUNCTION("""COMPUTED_VALUE"""),46077.0)</f>
        <v>46077</v>
      </c>
      <c r="C22" s="4" t="str">
        <f>IFERROR(__xludf.DUMMYFUNCTION("""COMPUTED_VALUE"""),"February")</f>
        <v>February</v>
      </c>
      <c r="D22" s="3" t="s">
        <v>279</v>
      </c>
      <c r="E22" s="9"/>
    </row>
    <row r="23" ht="15.75" customHeight="1">
      <c r="A23" s="4" t="str">
        <f>IFERROR(__xludf.DUMMYFUNCTION("""COMPUTED_VALUE"""),"Orange Ladybird")</f>
        <v>Orange Ladybird</v>
      </c>
      <c r="B23" s="5">
        <f>IFERROR(__xludf.DUMMYFUNCTION("""COMPUTED_VALUE"""),46046.0)</f>
        <v>46046</v>
      </c>
      <c r="C23" s="4" t="str">
        <f>IFERROR(__xludf.DUMMYFUNCTION("""COMPUTED_VALUE"""),"January")</f>
        <v>January</v>
      </c>
      <c r="D23" s="3" t="s">
        <v>279</v>
      </c>
      <c r="E23" s="9"/>
    </row>
    <row r="24" ht="15.75" customHeight="1">
      <c r="A24" s="4" t="str">
        <f>IFERROR(__xludf.DUMMYFUNCTION("""COMPUTED_VALUE"""),"16-spot Ladybird")</f>
        <v>16-spot Ladybird</v>
      </c>
      <c r="B24" s="5">
        <f>IFERROR(__xludf.DUMMYFUNCTION("""COMPUTED_VALUE"""),46053.0)</f>
        <v>46053</v>
      </c>
      <c r="C24" s="4" t="str">
        <f>IFERROR(__xludf.DUMMYFUNCTION("""COMPUTED_VALUE"""),"January")</f>
        <v>January</v>
      </c>
      <c r="D24" s="3" t="s">
        <v>279</v>
      </c>
      <c r="E24" s="9"/>
    </row>
    <row r="25" ht="15.75" customHeight="1">
      <c r="A25" s="4" t="str">
        <f>IFERROR(__xludf.DUMMYFUNCTION("""COMPUTED_VALUE"""),"Harlequin Ladybird")</f>
        <v>Harlequin Ladybird</v>
      </c>
      <c r="B25" s="5">
        <f>IFERROR(__xludf.DUMMYFUNCTION("""COMPUTED_VALUE"""),46075.0)</f>
        <v>46075</v>
      </c>
      <c r="C25" s="4" t="str">
        <f>IFERROR(__xludf.DUMMYFUNCTION("""COMPUTED_VALUE"""),"February")</f>
        <v>February</v>
      </c>
      <c r="D25" s="3" t="s">
        <v>279</v>
      </c>
      <c r="E25" s="9"/>
    </row>
    <row r="26" ht="15.75" customHeight="1">
      <c r="A26" s="4" t="str">
        <f>IFERROR(__xludf.DUMMYFUNCTION("""COMPUTED_VALUE"""),"7-spot Ladybird")</f>
        <v>7-spot Ladybird</v>
      </c>
      <c r="B26" s="5">
        <f>IFERROR(__xludf.DUMMYFUNCTION("""COMPUTED_VALUE"""),46053.0)</f>
        <v>46053</v>
      </c>
      <c r="C26" s="4" t="str">
        <f>IFERROR(__xludf.DUMMYFUNCTION("""COMPUTED_VALUE"""),"January")</f>
        <v>January</v>
      </c>
      <c r="D26" s="3" t="s">
        <v>279</v>
      </c>
      <c r="E26" s="9"/>
    </row>
    <row r="27" ht="15.75" customHeight="1">
      <c r="A27" s="4" t="str">
        <f>IFERROR(__xludf.DUMMYFUNCTION("""COMPUTED_VALUE"""),"Green Shieldbug")</f>
        <v>Green Shieldbug</v>
      </c>
      <c r="B27" s="5">
        <f>IFERROR(__xludf.DUMMYFUNCTION("""COMPUTED_VALUE"""),46046.0)</f>
        <v>46046</v>
      </c>
      <c r="C27" s="4" t="str">
        <f>IFERROR(__xludf.DUMMYFUNCTION("""COMPUTED_VALUE"""),"January")</f>
        <v>January</v>
      </c>
      <c r="D27" s="3" t="s">
        <v>280</v>
      </c>
      <c r="E27" s="9"/>
    </row>
    <row r="28" ht="15.75" customHeight="1">
      <c r="A28" s="4" t="str">
        <f>IFERROR(__xludf.DUMMYFUNCTION("""COMPUTED_VALUE"""),"Cream-spot Ladybird")</f>
        <v>Cream-spot Ladybird</v>
      </c>
      <c r="B28" s="5">
        <f>IFERROR(__xludf.DUMMYFUNCTION("""COMPUTED_VALUE"""),46067.0)</f>
        <v>46067</v>
      </c>
      <c r="C28" s="4" t="str">
        <f>IFERROR(__xludf.DUMMYFUNCTION("""COMPUTED_VALUE"""),"February")</f>
        <v>February</v>
      </c>
      <c r="D28" s="3" t="s">
        <v>279</v>
      </c>
      <c r="E28" s="9"/>
    </row>
    <row r="29" ht="15.75" customHeight="1">
      <c r="A29" s="4" t="str">
        <f>IFERROR(__xludf.DUMMYFUNCTION("""COMPUTED_VALUE"""),"Hawthorn Shieldbug")</f>
        <v>Hawthorn Shieldbug</v>
      </c>
      <c r="B29" s="5">
        <f>IFERROR(__xludf.DUMMYFUNCTION("""COMPUTED_VALUE"""),46071.0)</f>
        <v>46071</v>
      </c>
      <c r="C29" s="4" t="str">
        <f>IFERROR(__xludf.DUMMYFUNCTION("""COMPUTED_VALUE"""),"February")</f>
        <v>February</v>
      </c>
      <c r="D29" s="3" t="s">
        <v>280</v>
      </c>
      <c r="E29" s="9"/>
    </row>
    <row r="30" ht="15.75" customHeight="1">
      <c r="E30" s="9"/>
    </row>
    <row r="31" ht="15.75" customHeight="1">
      <c r="D31" s="3"/>
      <c r="E31" s="9"/>
    </row>
    <row r="32" ht="15.75" customHeight="1">
      <c r="D32" s="3"/>
      <c r="E32" s="9"/>
    </row>
    <row r="33" ht="15.75" customHeight="1">
      <c r="D33" s="3"/>
      <c r="E33" s="9"/>
    </row>
    <row r="34" ht="15.75" customHeight="1">
      <c r="D34" s="3"/>
      <c r="E34" s="9"/>
    </row>
    <row r="35" ht="15.75" customHeight="1">
      <c r="D35" s="3"/>
      <c r="E35" s="9"/>
    </row>
    <row r="36" ht="15.75" customHeight="1">
      <c r="D36" s="3"/>
      <c r="E36" s="9"/>
    </row>
    <row r="37" ht="15.75" customHeight="1">
      <c r="D37" s="3"/>
      <c r="E37" s="9"/>
    </row>
    <row r="38" ht="15.75" customHeight="1">
      <c r="D38" s="3"/>
      <c r="E38" s="9"/>
    </row>
    <row r="39" ht="15.75" customHeight="1">
      <c r="D39" s="3"/>
      <c r="E39" s="9"/>
    </row>
    <row r="40" ht="15.75" customHeight="1">
      <c r="D40" s="3"/>
      <c r="E40" s="9"/>
    </row>
    <row r="41" ht="15.75" customHeight="1">
      <c r="D41" s="3"/>
      <c r="E41" s="9"/>
    </row>
    <row r="42" ht="15.75" customHeight="1">
      <c r="D42" s="3"/>
      <c r="E42" s="9"/>
    </row>
    <row r="43" ht="15.75" customHeight="1">
      <c r="D43" s="3"/>
      <c r="E43" s="9"/>
    </row>
    <row r="44" ht="15.75" customHeight="1">
      <c r="D44" s="3"/>
      <c r="E44" s="9"/>
    </row>
    <row r="45" ht="15.75" customHeight="1">
      <c r="D45" s="3"/>
      <c r="E45" s="9"/>
    </row>
    <row r="46" ht="15.75" customHeight="1">
      <c r="D46" s="3"/>
      <c r="E46" s="9"/>
    </row>
    <row r="47" ht="15.75" customHeight="1">
      <c r="D47" s="3"/>
      <c r="E47" s="9"/>
    </row>
    <row r="48" ht="15.75" customHeight="1">
      <c r="D48" s="3"/>
      <c r="E48" s="9"/>
    </row>
    <row r="49" ht="15.75" customHeight="1">
      <c r="D49" s="3"/>
      <c r="E49" s="9"/>
    </row>
    <row r="50" ht="15.75" customHeight="1">
      <c r="D50" s="3"/>
      <c r="E50" s="9"/>
    </row>
    <row r="51" ht="15.75" customHeight="1">
      <c r="D51" s="3"/>
      <c r="E51" s="9"/>
    </row>
    <row r="52" ht="15.75" customHeight="1">
      <c r="D52" s="3"/>
      <c r="E52" s="9"/>
    </row>
    <row r="53" ht="15.75" customHeight="1">
      <c r="D53" s="3"/>
      <c r="E53" s="9"/>
    </row>
    <row r="54" ht="15.75" customHeight="1">
      <c r="D54" s="3"/>
      <c r="E54" s="9"/>
    </row>
    <row r="55" ht="15.75" customHeight="1">
      <c r="D55" s="3"/>
      <c r="E55" s="9"/>
    </row>
    <row r="56" ht="15.75" customHeight="1">
      <c r="D56" s="3"/>
      <c r="E56" s="9"/>
    </row>
    <row r="57" ht="15.75" customHeight="1">
      <c r="D57" s="3"/>
      <c r="E57" s="9"/>
    </row>
    <row r="58" ht="15.75" customHeight="1">
      <c r="D58" s="3"/>
      <c r="E58" s="9"/>
    </row>
    <row r="59" ht="15.75" customHeight="1">
      <c r="D59" s="3"/>
      <c r="E59" s="9"/>
    </row>
    <row r="60" ht="15.75" customHeight="1">
      <c r="D60" s="3"/>
      <c r="E60" s="9"/>
    </row>
    <row r="61" ht="15.75" customHeight="1">
      <c r="D61" s="3"/>
      <c r="E61" s="9"/>
    </row>
    <row r="62" ht="15.75" customHeight="1">
      <c r="D62" s="3"/>
      <c r="E62" s="9"/>
    </row>
    <row r="63" ht="15.75" customHeight="1">
      <c r="D63" s="3"/>
      <c r="E63" s="9"/>
    </row>
    <row r="64" ht="15.75" customHeight="1">
      <c r="D64" s="3"/>
      <c r="E64" s="9"/>
    </row>
    <row r="65" ht="15.75" customHeight="1">
      <c r="D65" s="3"/>
      <c r="E65" s="9"/>
    </row>
    <row r="66" ht="15.75" customHeight="1">
      <c r="D66" s="3"/>
      <c r="E66" s="9"/>
    </row>
    <row r="67" ht="15.75" customHeight="1">
      <c r="D67" s="3"/>
      <c r="E67" s="9"/>
    </row>
    <row r="68" ht="15.75" customHeight="1">
      <c r="D68" s="3"/>
      <c r="E68" s="9"/>
    </row>
    <row r="69" ht="15.75" customHeight="1">
      <c r="D69" s="3"/>
      <c r="E69" s="9"/>
    </row>
    <row r="70" ht="15.75" customHeight="1">
      <c r="D70" s="3"/>
      <c r="E70" s="9"/>
    </row>
    <row r="71" ht="15.75" customHeight="1">
      <c r="D71" s="3"/>
      <c r="E71" s="9"/>
    </row>
    <row r="72" ht="15.75" customHeight="1">
      <c r="D72" s="3"/>
      <c r="E72" s="9"/>
    </row>
    <row r="73" ht="15.75" customHeight="1">
      <c r="D73" s="3"/>
      <c r="E73" s="9"/>
    </row>
    <row r="74" ht="15.75" customHeight="1">
      <c r="D74" s="3"/>
      <c r="E74" s="9"/>
    </row>
    <row r="75" ht="15.75" customHeight="1">
      <c r="D75" s="3"/>
      <c r="E75" s="9"/>
    </row>
    <row r="76" ht="15.75" customHeight="1">
      <c r="D76" s="3"/>
      <c r="E76" s="9"/>
    </row>
    <row r="77" ht="15.75" customHeight="1">
      <c r="D77" s="3"/>
      <c r="E77" s="9"/>
    </row>
    <row r="78" ht="15.75" customHeight="1">
      <c r="D78" s="3"/>
      <c r="E78" s="9"/>
    </row>
    <row r="79" ht="15.75" customHeight="1">
      <c r="D79" s="3"/>
      <c r="E79" s="9"/>
    </row>
    <row r="80" ht="15.75" customHeight="1">
      <c r="D80" s="3"/>
      <c r="E80" s="9"/>
    </row>
    <row r="81" ht="15.75" customHeight="1">
      <c r="D81" s="3"/>
      <c r="E81" s="9"/>
    </row>
    <row r="82" ht="15.75" customHeight="1">
      <c r="D82" s="3"/>
      <c r="E82" s="9"/>
    </row>
    <row r="83" ht="15.75" customHeight="1">
      <c r="D83" s="3"/>
      <c r="E83" s="9"/>
    </row>
    <row r="84" ht="15.75" customHeight="1">
      <c r="D84" s="3"/>
      <c r="E84" s="9"/>
    </row>
    <row r="85" ht="15.75" customHeight="1">
      <c r="D85" s="3"/>
      <c r="E85" s="9"/>
    </row>
    <row r="86" ht="15.75" customHeight="1">
      <c r="D86" s="3"/>
      <c r="E86" s="9"/>
    </row>
    <row r="87" ht="15.75" customHeight="1">
      <c r="D87" s="3"/>
      <c r="E87" s="9"/>
    </row>
    <row r="88" ht="15.75" customHeight="1">
      <c r="D88" s="3"/>
      <c r="E88" s="9"/>
    </row>
    <row r="89" ht="15.75" customHeight="1">
      <c r="D89" s="3"/>
      <c r="E89" s="9"/>
    </row>
    <row r="90" ht="15.75" customHeight="1">
      <c r="D90" s="3"/>
      <c r="E90" s="9"/>
    </row>
    <row r="91" ht="15.75" customHeight="1">
      <c r="D91" s="3"/>
      <c r="E91" s="9"/>
    </row>
    <row r="92" ht="15.75" customHeight="1">
      <c r="D92" s="3"/>
      <c r="E92" s="9"/>
    </row>
    <row r="93" ht="15.75" customHeight="1">
      <c r="D93" s="3"/>
      <c r="E93" s="9"/>
    </row>
    <row r="94" ht="15.75" customHeight="1">
      <c r="D94" s="3"/>
      <c r="E94" s="9"/>
    </row>
    <row r="95" ht="15.75" customHeight="1">
      <c r="D95" s="3"/>
      <c r="E95" s="9"/>
    </row>
    <row r="96" ht="15.75" customHeight="1">
      <c r="D96" s="3"/>
      <c r="E96" s="9"/>
    </row>
    <row r="97" ht="15.75" customHeight="1">
      <c r="D97" s="3"/>
      <c r="E97" s="9"/>
    </row>
    <row r="98" ht="15.75" customHeight="1">
      <c r="D98" s="3"/>
      <c r="E98" s="9"/>
    </row>
    <row r="99" ht="15.75" customHeight="1">
      <c r="D99" s="3"/>
      <c r="E99" s="9"/>
    </row>
    <row r="100" ht="15.75" customHeight="1">
      <c r="D100" s="3"/>
      <c r="E100" s="9"/>
    </row>
    <row r="101" ht="15.75" customHeight="1">
      <c r="D101" s="3"/>
      <c r="E101" s="9"/>
    </row>
    <row r="102" ht="15.75" customHeight="1">
      <c r="D102" s="3"/>
      <c r="E102" s="9"/>
    </row>
    <row r="103" ht="15.75" customHeight="1">
      <c r="D103" s="3"/>
      <c r="E103" s="9"/>
    </row>
    <row r="104" ht="15.75" customHeight="1">
      <c r="D104" s="3"/>
      <c r="E104" s="9"/>
    </row>
    <row r="105" ht="15.75" customHeight="1">
      <c r="D105" s="3"/>
      <c r="E105" s="9"/>
    </row>
    <row r="106" ht="15.75" customHeight="1">
      <c r="D106" s="3"/>
      <c r="E106" s="9"/>
    </row>
    <row r="107" ht="15.75" customHeight="1">
      <c r="D107" s="3"/>
      <c r="E107" s="9"/>
    </row>
    <row r="108" ht="15.75" customHeight="1">
      <c r="D108" s="3"/>
      <c r="E108" s="9"/>
    </row>
    <row r="109" ht="15.75" customHeight="1">
      <c r="D109" s="3"/>
      <c r="E109" s="9"/>
    </row>
    <row r="110" ht="15.75" customHeight="1">
      <c r="D110" s="3"/>
      <c r="E110" s="9"/>
    </row>
    <row r="111" ht="15.75" customHeight="1">
      <c r="D111" s="3"/>
      <c r="E111" s="9"/>
    </row>
    <row r="112" ht="15.75" customHeight="1">
      <c r="D112" s="3"/>
      <c r="E112" s="9"/>
    </row>
    <row r="113" ht="15.75" customHeight="1">
      <c r="D113" s="3"/>
      <c r="E113" s="9"/>
    </row>
    <row r="114" ht="15.75" customHeight="1">
      <c r="D114" s="3"/>
      <c r="E114" s="9"/>
    </row>
    <row r="115" ht="15.75" customHeight="1">
      <c r="D115" s="3"/>
      <c r="E115" s="9"/>
    </row>
    <row r="116" ht="15.75" customHeight="1">
      <c r="D116" s="3"/>
      <c r="E116" s="9"/>
    </row>
    <row r="117" ht="15.75" customHeight="1">
      <c r="D117" s="3"/>
      <c r="E117" s="9"/>
    </row>
    <row r="118" ht="15.75" customHeight="1">
      <c r="D118" s="3"/>
      <c r="E118" s="9"/>
    </row>
    <row r="119" ht="15.75" customHeight="1">
      <c r="D119" s="3"/>
      <c r="E119" s="9"/>
    </row>
    <row r="120" ht="15.75" customHeight="1">
      <c r="D120" s="3"/>
      <c r="E120" s="9"/>
    </row>
    <row r="121" ht="15.75" customHeight="1">
      <c r="D121" s="3"/>
      <c r="E121" s="9"/>
    </row>
    <row r="122" ht="15.75" customHeight="1">
      <c r="D122" s="3"/>
      <c r="E122" s="9"/>
    </row>
    <row r="123" ht="15.75" customHeight="1">
      <c r="D123" s="3"/>
      <c r="E123" s="9"/>
    </row>
    <row r="124" ht="15.75" customHeight="1">
      <c r="D124" s="3"/>
      <c r="E124" s="9"/>
    </row>
    <row r="125" ht="15.75" customHeight="1">
      <c r="D125" s="3"/>
      <c r="E125" s="9"/>
    </row>
    <row r="126" ht="15.75" customHeight="1">
      <c r="D126" s="3"/>
      <c r="E126" s="9"/>
    </row>
    <row r="127" ht="15.75" customHeight="1">
      <c r="D127" s="3"/>
      <c r="E127" s="9"/>
    </row>
    <row r="128" ht="15.75" customHeight="1">
      <c r="D128" s="3"/>
      <c r="E128" s="9"/>
    </row>
    <row r="129" ht="15.75" customHeight="1">
      <c r="D129" s="3"/>
      <c r="E129" s="9"/>
    </row>
    <row r="130" ht="15.75" customHeight="1">
      <c r="D130" s="3"/>
      <c r="E130" s="9"/>
    </row>
    <row r="131" ht="15.75" customHeight="1">
      <c r="D131" s="3"/>
      <c r="E131" s="9"/>
    </row>
    <row r="132" ht="15.75" customHeight="1">
      <c r="D132" s="3"/>
      <c r="E132" s="9"/>
    </row>
    <row r="133" ht="15.75" customHeight="1">
      <c r="D133" s="3"/>
      <c r="E133" s="9"/>
    </row>
    <row r="134" ht="15.75" customHeight="1">
      <c r="D134" s="3"/>
      <c r="E134" s="9"/>
    </row>
    <row r="135" ht="15.75" customHeight="1">
      <c r="D135" s="3"/>
      <c r="E135" s="9"/>
    </row>
    <row r="136" ht="15.75" customHeight="1">
      <c r="D136" s="3"/>
      <c r="E136" s="9"/>
    </row>
    <row r="137" ht="15.75" customHeight="1">
      <c r="D137" s="3"/>
      <c r="E137" s="9"/>
    </row>
    <row r="138" ht="15.75" customHeight="1">
      <c r="D138" s="3"/>
      <c r="E138" s="9"/>
    </row>
    <row r="139" ht="15.75" customHeight="1">
      <c r="D139" s="3"/>
      <c r="E139" s="9"/>
    </row>
    <row r="140" ht="15.75" customHeight="1">
      <c r="D140" s="3"/>
      <c r="E140" s="9"/>
    </row>
    <row r="141" ht="15.75" customHeight="1">
      <c r="D141" s="3"/>
      <c r="E141" s="9"/>
    </row>
    <row r="142" ht="15.75" customHeight="1">
      <c r="D142" s="3"/>
      <c r="E142" s="9"/>
    </row>
    <row r="143" ht="15.75" customHeight="1">
      <c r="D143" s="3"/>
      <c r="E143" s="9"/>
    </row>
    <row r="144" ht="15.75" customHeight="1">
      <c r="D144" s="3"/>
      <c r="E144" s="9"/>
    </row>
    <row r="145" ht="15.75" customHeight="1">
      <c r="D145" s="3"/>
      <c r="E145" s="9"/>
    </row>
    <row r="146" ht="15.75" customHeight="1">
      <c r="D146" s="3"/>
      <c r="E146" s="9"/>
    </row>
    <row r="147" ht="15.75" customHeight="1">
      <c r="D147" s="3"/>
      <c r="E147" s="9"/>
    </row>
    <row r="148" ht="15.75" customHeight="1">
      <c r="D148" s="3"/>
      <c r="E148" s="9"/>
    </row>
    <row r="149" ht="15.75" customHeight="1">
      <c r="D149" s="3"/>
      <c r="E149" s="9"/>
    </row>
    <row r="150" ht="15.75" customHeight="1">
      <c r="D150" s="3"/>
      <c r="E150" s="9"/>
    </row>
    <row r="151" ht="15.75" customHeight="1">
      <c r="D151" s="3"/>
      <c r="E151" s="9"/>
    </row>
    <row r="152" ht="15.75" customHeight="1">
      <c r="D152" s="3"/>
      <c r="E152" s="9"/>
    </row>
    <row r="153" ht="15.75" customHeight="1">
      <c r="D153" s="3"/>
      <c r="E153" s="9"/>
    </row>
    <row r="154" ht="15.75" customHeight="1">
      <c r="D154" s="3"/>
      <c r="E154" s="9"/>
    </row>
    <row r="155" ht="15.75" customHeight="1">
      <c r="D155" s="3"/>
      <c r="E155" s="9"/>
    </row>
    <row r="156" ht="15.75" customHeight="1">
      <c r="D156" s="3"/>
      <c r="E156" s="9"/>
    </row>
    <row r="157" ht="15.75" customHeight="1">
      <c r="D157" s="3"/>
      <c r="E157" s="9"/>
    </row>
    <row r="158" ht="15.75" customHeight="1">
      <c r="D158" s="3"/>
      <c r="E158" s="9"/>
    </row>
    <row r="159" ht="15.75" customHeight="1">
      <c r="D159" s="3"/>
      <c r="E159" s="9"/>
    </row>
    <row r="160" ht="15.75" customHeight="1">
      <c r="D160" s="3"/>
      <c r="E160" s="9"/>
    </row>
    <row r="161" ht="15.75" customHeight="1">
      <c r="D161" s="3"/>
      <c r="E161" s="9"/>
    </row>
    <row r="162" ht="15.75" customHeight="1">
      <c r="D162" s="3"/>
      <c r="E162" s="9"/>
    </row>
    <row r="163" ht="15.75" customHeight="1">
      <c r="D163" s="3"/>
      <c r="E163" s="9"/>
    </row>
    <row r="164" ht="15.75" customHeight="1">
      <c r="D164" s="3"/>
      <c r="E164" s="9"/>
    </row>
    <row r="165" ht="15.75" customHeight="1">
      <c r="D165" s="3"/>
      <c r="E165" s="9"/>
    </row>
    <row r="166" ht="15.75" customHeight="1">
      <c r="D166" s="3"/>
      <c r="E166" s="9"/>
    </row>
    <row r="167" ht="15.75" customHeight="1">
      <c r="D167" s="3"/>
      <c r="E167" s="9"/>
    </row>
    <row r="168" ht="15.75" customHeight="1">
      <c r="D168" s="3"/>
      <c r="E168" s="9"/>
    </row>
    <row r="169" ht="15.75" customHeight="1">
      <c r="D169" s="3"/>
      <c r="E169" s="9"/>
    </row>
    <row r="170" ht="15.75" customHeight="1">
      <c r="D170" s="3"/>
      <c r="E170" s="9"/>
    </row>
    <row r="171" ht="15.75" customHeight="1">
      <c r="D171" s="3"/>
      <c r="E171" s="9"/>
    </row>
    <row r="172" ht="15.75" customHeight="1">
      <c r="D172" s="3"/>
      <c r="E172" s="9"/>
    </row>
    <row r="173" ht="15.75" customHeight="1">
      <c r="D173" s="3"/>
      <c r="E173" s="9"/>
    </row>
    <row r="174" ht="15.75" customHeight="1">
      <c r="D174" s="3"/>
      <c r="E174" s="9"/>
    </row>
    <row r="175" ht="15.75" customHeight="1">
      <c r="D175" s="3"/>
      <c r="E175" s="9"/>
    </row>
    <row r="176" ht="15.75" customHeight="1">
      <c r="D176" s="3"/>
      <c r="E176" s="9"/>
    </row>
    <row r="177" ht="15.75" customHeight="1">
      <c r="D177" s="3"/>
      <c r="E177" s="9"/>
    </row>
    <row r="178" ht="15.75" customHeight="1">
      <c r="D178" s="3"/>
      <c r="E178" s="9"/>
    </row>
    <row r="179" ht="15.75" customHeight="1">
      <c r="D179" s="3"/>
      <c r="E179" s="9"/>
    </row>
    <row r="180" ht="15.75" customHeight="1">
      <c r="D180" s="3"/>
      <c r="E180" s="9"/>
    </row>
    <row r="181" ht="15.75" customHeight="1">
      <c r="D181" s="3"/>
      <c r="E181" s="9"/>
    </row>
    <row r="182" ht="15.75" customHeight="1">
      <c r="D182" s="3"/>
      <c r="E182" s="9"/>
    </row>
    <row r="183" ht="15.75" customHeight="1">
      <c r="D183" s="3"/>
      <c r="E183" s="9"/>
    </row>
    <row r="184" ht="15.75" customHeight="1">
      <c r="D184" s="3"/>
      <c r="E184" s="9"/>
    </row>
    <row r="185" ht="15.75" customHeight="1">
      <c r="D185" s="3"/>
      <c r="E185" s="9"/>
    </row>
    <row r="186" ht="15.75" customHeight="1">
      <c r="D186" s="3"/>
      <c r="E186" s="9"/>
    </row>
    <row r="187" ht="15.75" customHeight="1">
      <c r="D187" s="3"/>
      <c r="E187" s="9"/>
    </row>
    <row r="188" ht="15.75" customHeight="1">
      <c r="D188" s="3"/>
      <c r="E188" s="9"/>
    </row>
    <row r="189" ht="15.75" customHeight="1">
      <c r="D189" s="3"/>
      <c r="E189" s="9"/>
    </row>
    <row r="190" ht="15.75" customHeight="1">
      <c r="D190" s="3"/>
      <c r="E190" s="9"/>
    </row>
    <row r="191" ht="15.75" customHeight="1">
      <c r="D191" s="3"/>
      <c r="E191" s="9"/>
    </row>
    <row r="192" ht="15.75" customHeight="1">
      <c r="D192" s="3"/>
      <c r="E192" s="9"/>
    </row>
    <row r="193" ht="15.75" customHeight="1">
      <c r="D193" s="3"/>
      <c r="E193" s="9"/>
    </row>
    <row r="194" ht="15.75" customHeight="1">
      <c r="D194" s="3"/>
      <c r="E194" s="9"/>
    </row>
    <row r="195" ht="15.75" customHeight="1">
      <c r="D195" s="3"/>
      <c r="E195" s="9"/>
    </row>
    <row r="196" ht="15.75" customHeight="1">
      <c r="D196" s="3"/>
      <c r="E196" s="9"/>
    </row>
    <row r="197" ht="15.75" customHeight="1">
      <c r="D197" s="3"/>
      <c r="E197" s="9"/>
    </row>
    <row r="198" ht="15.75" customHeight="1">
      <c r="D198" s="3"/>
      <c r="E198" s="9"/>
    </row>
    <row r="199" ht="15.75" customHeight="1">
      <c r="D199" s="3"/>
      <c r="E199" s="9"/>
    </row>
    <row r="200" ht="15.75" customHeight="1">
      <c r="D200" s="3"/>
      <c r="E200" s="9"/>
    </row>
    <row r="201" ht="15.75" customHeight="1">
      <c r="D201" s="3"/>
      <c r="E201" s="9"/>
    </row>
    <row r="202" ht="15.75" customHeight="1">
      <c r="D202" s="3"/>
      <c r="E202" s="9"/>
    </row>
    <row r="203" ht="15.75" customHeight="1">
      <c r="D203" s="3"/>
      <c r="E203" s="9"/>
    </row>
    <row r="204" ht="15.75" customHeight="1">
      <c r="D204" s="3"/>
      <c r="E204" s="9"/>
    </row>
    <row r="205" ht="15.75" customHeight="1">
      <c r="D205" s="3"/>
      <c r="E205" s="9"/>
    </row>
    <row r="206" ht="15.75" customHeight="1">
      <c r="D206" s="3"/>
      <c r="E206" s="9"/>
    </row>
    <row r="207" ht="15.75" customHeight="1">
      <c r="D207" s="3"/>
      <c r="E207" s="9"/>
    </row>
    <row r="208" ht="15.75" customHeight="1">
      <c r="D208" s="3"/>
      <c r="E208" s="9"/>
    </row>
    <row r="209" ht="15.75" customHeight="1">
      <c r="D209" s="3"/>
      <c r="E209" s="9"/>
    </row>
    <row r="210" ht="15.75" customHeight="1">
      <c r="D210" s="3"/>
      <c r="E210" s="9"/>
    </row>
    <row r="211" ht="15.75" customHeight="1">
      <c r="D211" s="3"/>
      <c r="E211" s="9"/>
    </row>
    <row r="212" ht="15.75" customHeight="1">
      <c r="D212" s="3"/>
      <c r="E212" s="9"/>
    </row>
    <row r="213" ht="15.75" customHeight="1">
      <c r="D213" s="3"/>
      <c r="E213" s="9"/>
    </row>
    <row r="214" ht="15.75" customHeight="1">
      <c r="D214" s="3"/>
      <c r="E214" s="9"/>
    </row>
    <row r="215" ht="15.75" customHeight="1">
      <c r="D215" s="3"/>
      <c r="E215" s="9"/>
    </row>
    <row r="216" ht="15.75" customHeight="1">
      <c r="D216" s="3"/>
      <c r="E216" s="9"/>
    </row>
    <row r="217" ht="15.75" customHeight="1">
      <c r="D217" s="3"/>
      <c r="E217" s="9"/>
    </row>
    <row r="218" ht="15.75" customHeight="1">
      <c r="D218" s="3"/>
      <c r="E218" s="9"/>
    </row>
    <row r="219" ht="15.75" customHeight="1">
      <c r="D219" s="3"/>
      <c r="E219" s="9"/>
    </row>
    <row r="220" ht="15.75" customHeight="1">
      <c r="D220" s="3"/>
      <c r="E220" s="9"/>
    </row>
    <row r="221" ht="15.75" customHeight="1">
      <c r="D221" s="3"/>
      <c r="E221" s="9"/>
    </row>
    <row r="222" ht="15.75" customHeight="1">
      <c r="D222" s="3"/>
      <c r="E222" s="9"/>
    </row>
    <row r="223" ht="15.75" customHeight="1">
      <c r="D223" s="3"/>
      <c r="E223" s="9"/>
    </row>
    <row r="224" ht="15.75" customHeight="1">
      <c r="D224" s="3"/>
      <c r="E224" s="9"/>
    </row>
    <row r="225" ht="15.75" customHeight="1">
      <c r="D225" s="3"/>
      <c r="E225" s="9"/>
    </row>
    <row r="226" ht="15.75" customHeight="1">
      <c r="D226" s="3"/>
      <c r="E226" s="9"/>
    </row>
    <row r="227" ht="15.75" customHeight="1">
      <c r="D227" s="3"/>
      <c r="E227" s="9"/>
    </row>
    <row r="228" ht="15.75" customHeight="1">
      <c r="D228" s="3"/>
      <c r="E228" s="9"/>
    </row>
    <row r="229" ht="15.75" customHeight="1">
      <c r="D229" s="3"/>
      <c r="E229" s="9"/>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3F1A426-6D88-48CC-A425-5A71B1F26D0E}" filter="1" showAutoFilter="1">
      <autoFilter ref="$A$1:$D$30"/>
    </customSheetView>
    <customSheetView guid="{3AD86688-F366-46C3-B1F7-D1332CBB9B9E}" filter="1" showAutoFilter="1">
      <autoFilter ref="$A$1:$D$30"/>
    </customSheetView>
  </customSheetView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21" t="s">
        <v>283</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extLst>
    <ext uri="{3A4CF648-6AED-40f4-86FF-DC5316D8AED3}">
      <x14:slicerList>
        <x14:slicer r:id="rId2"/>
      </x14:slicerList>
    </ext>
  </extLst>
</worksheet>
</file>